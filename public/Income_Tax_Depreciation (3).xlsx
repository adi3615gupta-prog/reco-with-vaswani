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05\Downloads\"/>
    </mc:Choice>
  </mc:AlternateContent>
  <xr:revisionPtr revIDLastSave="0" documentId="13_ncr:1_{990A3FD1-60E3-4BBB-BDEA-503C42051E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Ta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G11" i="1"/>
  <c r="K11" i="1" s="1"/>
  <c r="K10" i="1"/>
  <c r="J10" i="1"/>
  <c r="G10" i="1"/>
  <c r="G9" i="1"/>
  <c r="K9" i="1" s="1"/>
  <c r="G8" i="1"/>
  <c r="K8" i="1" s="1"/>
  <c r="K7" i="1"/>
  <c r="J7" i="1"/>
  <c r="G7" i="1"/>
  <c r="H7" i="1" s="1"/>
  <c r="I7" i="1" l="1"/>
  <c r="H9" i="1"/>
  <c r="I9" i="1"/>
  <c r="J9" i="1"/>
  <c r="H11" i="1"/>
  <c r="I11" i="1" s="1"/>
  <c r="G12" i="1"/>
  <c r="H8" i="1"/>
  <c r="H12" i="1" s="1"/>
  <c r="J11" i="1"/>
  <c r="J8" i="1"/>
  <c r="J12" i="1" s="1"/>
  <c r="H10" i="1"/>
  <c r="I10" i="1" s="1"/>
  <c r="I8" i="1" l="1"/>
  <c r="I12" i="1" s="1"/>
</calcChain>
</file>

<file path=xl/sharedStrings.xml><?xml version="1.0" encoding="utf-8"?>
<sst xmlns="http://schemas.openxmlformats.org/spreadsheetml/2006/main" count="100" uniqueCount="49">
  <si>
    <t>Income Tax Act Depreciation Schedule (Section 32)</t>
  </si>
  <si>
    <t>Financial Year Start:</t>
  </si>
  <si>
    <t>Financial Year End:</t>
  </si>
  <si>
    <t>Block Name</t>
  </si>
  <si>
    <t>Rate</t>
  </si>
  <si>
    <t>Opening WDV as of 01-Apr</t>
  </si>
  <si>
    <t>Additions Put To Use</t>
  </si>
  <si>
    <t>Deletions during the year</t>
  </si>
  <si>
    <t>Total WDV for Dep</t>
  </si>
  <si>
    <t>Depreciation</t>
  </si>
  <si>
    <t>Closing WDV as of 31-Mar</t>
  </si>
  <si>
    <t>Short Term Capital Gain</t>
  </si>
  <si>
    <t>Block Ceased to Exist</t>
  </si>
  <si>
    <t>up to 02-Oct-2025</t>
  </si>
  <si>
    <t>after 02-Oct-2025</t>
  </si>
  <si>
    <t>Computers 40%</t>
  </si>
  <si>
    <t>Plant &amp; Machinery 15%</t>
  </si>
  <si>
    <t>Furniture 10%</t>
  </si>
  <si>
    <t>Buildings 10%</t>
  </si>
  <si>
    <t>Intangible assets 25%:</t>
  </si>
  <si>
    <t>Total</t>
  </si>
  <si>
    <t>Detailed Additions Log Book</t>
  </si>
  <si>
    <t>Asset Name</t>
  </si>
  <si>
    <t>Date of Purchase</t>
  </si>
  <si>
    <t>Purchase Amount</t>
  </si>
  <si>
    <t>Additional Depreciation Rate</t>
  </si>
  <si>
    <t>Date Put To Use</t>
  </si>
  <si>
    <t>BREZZA 4 WHEELER MARUTI SUZUKI-SAI SERVICES PVT LTD</t>
  </si>
  <si>
    <t>2025-07-30</t>
  </si>
  <si>
    <t>2025-07-31</t>
  </si>
  <si>
    <t>DELL LAPTOP-5410</t>
  </si>
  <si>
    <t>2026-01-08</t>
  </si>
  <si>
    <t>2026-02-28</t>
  </si>
  <si>
    <t>FURNITURE &amp; FIXTURE</t>
  </si>
  <si>
    <t>2025-05-27</t>
  </si>
  <si>
    <t>2026-02-20</t>
  </si>
  <si>
    <t>HOOPER WITH COMPRESSOR</t>
  </si>
  <si>
    <t>2025-05-23</t>
  </si>
  <si>
    <t>2025-12-10</t>
  </si>
  <si>
    <t>HP LAPTOP NEW</t>
  </si>
  <si>
    <t>2025-05-02</t>
  </si>
  <si>
    <t>MAHINDRA SUPRO-VEHICAL PURCHASE</t>
  </si>
  <si>
    <t>2025-11-21</t>
  </si>
  <si>
    <t>2025-11-27</t>
  </si>
  <si>
    <t>TALLY SOFTWARE</t>
  </si>
  <si>
    <t>2025-04-28</t>
  </si>
  <si>
    <t>2025-08-29</t>
  </si>
  <si>
    <t>TWO WHEELER ACTIVA ODISHA</t>
  </si>
  <si>
    <t>2026-03-09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</si>
</sst>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₹#,##0"/>
  </numFmts>
  <fonts count="16" x14ac:knownFonts="1">
    <font>
      <sz val="11"/>
      <name val="Calibri"/>
    </font>
    <font>
      <b/>
      <sz val="14"/>
      <color rgb="FF0F172A"/>
      <name val="Segoe UI"/>
      <family val="2"/>
    </font>
    <font>
      <i/>
      <sz val="10"/>
      <color rgb="FF475569"/>
      <name val="Segoe UI"/>
      <family val="2"/>
    </font>
    <font>
      <sz val="10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0"/>
      <color rgb="FF0F172A"/>
      <name val="Segoe UI"/>
      <family val="2"/>
    </font>
    <font>
      <b/>
      <sz val="10"/>
      <color rgb="FF0F172A"/>
      <name val="Segoe UI"/>
      <family val="2"/>
    </font>
    <font>
      <sz val="1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293B"/>
      </left>
      <right style="thin">
        <color rgb="FF1E293B"/>
      </right>
      <top/>
      <bottom/>
      <diagonal/>
    </border>
    <border>
      <left/>
      <right/>
      <top/>
      <bottom style="double">
        <color rgb="FF0F172A"/>
      </bottom>
      <diagonal/>
    </border>
    <border>
      <left/>
      <right/>
      <top style="thin">
        <color indexed="64"/>
      </top>
      <bottom style="double">
        <color rgb="FF0F172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right" vertical="center"/>
    </xf>
    <xf numFmtId="166" fontId="7" fillId="0" borderId="6" xfId="0" applyNumberFormat="1" applyFont="1" applyBorder="1" applyAlignment="1">
      <alignment horizontal="right" vertical="center"/>
    </xf>
    <xf numFmtId="0" fontId="9" fillId="3" borderId="7" xfId="0" applyFont="1" applyFill="1" applyBorder="1" applyAlignment="1">
      <alignment horizontal="left" vertical="center"/>
    </xf>
    <xf numFmtId="165" fontId="10" fillId="4" borderId="8" xfId="0" applyNumberFormat="1" applyFont="1" applyFill="1" applyBorder="1" applyAlignment="1">
      <alignment horizontal="right" vertical="center"/>
    </xf>
    <xf numFmtId="166" fontId="11" fillId="5" borderId="9" xfId="0" applyNumberFormat="1" applyFont="1" applyFill="1" applyBorder="1" applyAlignment="1">
      <alignment horizontal="right" vertical="center"/>
    </xf>
    <xf numFmtId="164" fontId="15" fillId="9" borderId="10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6" fontId="14" fillId="8" borderId="13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165" fontId="6" fillId="0" borderId="11" xfId="0" applyNumberFormat="1" applyFont="1" applyBorder="1" applyAlignment="1">
      <alignment horizontal="right" vertical="center"/>
    </xf>
    <xf numFmtId="166" fontId="7" fillId="0" borderId="11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165" fontId="10" fillId="4" borderId="11" xfId="0" applyNumberFormat="1" applyFont="1" applyFill="1" applyBorder="1" applyAlignment="1">
      <alignment horizontal="right" vertical="center"/>
    </xf>
    <xf numFmtId="166" fontId="11" fillId="5" borderId="11" xfId="0" applyNumberFormat="1" applyFont="1" applyFill="1" applyBorder="1" applyAlignment="1">
      <alignment horizontal="right" vertical="center"/>
    </xf>
    <xf numFmtId="0" fontId="12" fillId="6" borderId="11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4" workbookViewId="0">
      <selection activeCell="A12" sqref="A12:B12"/>
    </sheetView>
  </sheetViews>
  <sheetFormatPr defaultRowHeight="14.5" x14ac:dyDescent="0.35"/>
  <cols>
    <col min="1" max="1" width="28.81640625" customWidth="1"/>
    <col min="2" max="7" width="15.81640625" customWidth="1"/>
    <col min="8" max="8" width="11.90625" bestFit="1" customWidth="1"/>
    <col min="9" max="9" width="15.81640625" customWidth="1"/>
    <col min="10" max="10" width="11.26953125" bestFit="1" customWidth="1"/>
    <col min="11" max="11" width="14.54296875" bestFit="1" customWidth="1"/>
    <col min="12" max="15" width="15.81640625" customWidth="1"/>
  </cols>
  <sheetData>
    <row r="1" spans="1:11" ht="21" x14ac:dyDescent="0.35">
      <c r="A1" s="1" t="s">
        <v>0</v>
      </c>
    </row>
    <row r="2" spans="1:11" ht="16" x14ac:dyDescent="0.35">
      <c r="A2" s="2" t="s">
        <v>1</v>
      </c>
      <c r="B2" s="3">
        <v>45748</v>
      </c>
    </row>
    <row r="3" spans="1:11" ht="16" x14ac:dyDescent="0.35">
      <c r="A3" s="2" t="s">
        <v>2</v>
      </c>
      <c r="B3" s="3">
        <v>46112</v>
      </c>
    </row>
    <row r="5" spans="1:11" ht="32" x14ac:dyDescent="0.35">
      <c r="A5" s="13" t="s">
        <v>3</v>
      </c>
      <c r="B5" s="13" t="s">
        <v>4</v>
      </c>
      <c r="C5" s="13" t="s">
        <v>5</v>
      </c>
      <c r="D5" s="14" t="s">
        <v>6</v>
      </c>
      <c r="E5" s="14"/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</row>
    <row r="6" spans="1:11" ht="32" x14ac:dyDescent="0.35">
      <c r="A6" s="12"/>
      <c r="B6" s="12"/>
      <c r="C6" s="12"/>
      <c r="D6" s="15" t="s">
        <v>13</v>
      </c>
      <c r="E6" s="15" t="s">
        <v>14</v>
      </c>
      <c r="F6" s="12"/>
      <c r="G6" s="12"/>
      <c r="H6" s="12"/>
      <c r="I6" s="12"/>
      <c r="J6" s="12"/>
      <c r="K6" s="12"/>
    </row>
    <row r="7" spans="1:11" ht="16" x14ac:dyDescent="0.35">
      <c r="A7" s="17" t="s">
        <v>15</v>
      </c>
      <c r="B7" s="18">
        <v>0.4</v>
      </c>
      <c r="C7" s="19">
        <v>49606</v>
      </c>
      <c r="D7" s="19">
        <v>23000</v>
      </c>
      <c r="E7" s="19">
        <v>50323.729999999996</v>
      </c>
      <c r="F7" s="19">
        <v>0</v>
      </c>
      <c r="G7" s="19">
        <f>C7+D7+E7-F7</f>
        <v>122929.73</v>
      </c>
      <c r="H7" s="19">
        <f>IF(G7&lt;=0, 0, (G7 - MIN(E7, G7)) * B7 + MIN(E7, G7) * (B7/2))</f>
        <v>39107.146000000001</v>
      </c>
      <c r="I7" s="19">
        <f>MAX(0, G7-H7)</f>
        <v>83822.584000000003</v>
      </c>
      <c r="J7" s="19">
        <f>IF(G7&lt;0, ABS(G7), 0)</f>
        <v>0</v>
      </c>
      <c r="K7" s="20" t="str">
        <f>IF(G7&lt;=0, "Yes", "No")</f>
        <v>No</v>
      </c>
    </row>
    <row r="8" spans="1:11" ht="16" x14ac:dyDescent="0.35">
      <c r="A8" s="21" t="s">
        <v>16</v>
      </c>
      <c r="B8" s="22">
        <v>0.15</v>
      </c>
      <c r="C8" s="23">
        <v>1250017</v>
      </c>
      <c r="D8" s="23">
        <v>1459283.01</v>
      </c>
      <c r="E8" s="23">
        <v>853580.85</v>
      </c>
      <c r="F8" s="23">
        <v>317915</v>
      </c>
      <c r="G8" s="23">
        <f>C8+D8+E8-F8</f>
        <v>3244965.86</v>
      </c>
      <c r="H8" s="23">
        <f>IF(G8&lt;=0, 0, (G8 - MIN(E8, G8)) * B8 + MIN(E8, G8) * (B8/2))</f>
        <v>422726.31524999993</v>
      </c>
      <c r="I8" s="23">
        <f>MAX(0, G8-H8)</f>
        <v>2822239.5447499999</v>
      </c>
      <c r="J8" s="23">
        <f>IF(G8&lt;0, ABS(G8), 0)</f>
        <v>0</v>
      </c>
      <c r="K8" s="24" t="str">
        <f>IF(G8&lt;=0, "Yes", "No")</f>
        <v>No</v>
      </c>
    </row>
    <row r="9" spans="1:11" ht="16" x14ac:dyDescent="0.35">
      <c r="A9" s="17" t="s">
        <v>17</v>
      </c>
      <c r="B9" s="18">
        <v>0.1</v>
      </c>
      <c r="C9" s="19">
        <v>29232</v>
      </c>
      <c r="D9" s="19">
        <v>17000</v>
      </c>
      <c r="E9" s="19">
        <v>20800</v>
      </c>
      <c r="F9" s="19">
        <v>0</v>
      </c>
      <c r="G9" s="19">
        <f>C9+D9+E9-F9</f>
        <v>67032</v>
      </c>
      <c r="H9" s="19">
        <f>IF(G9&lt;=0, 0, (G9 - MIN(E9, G9)) * B9 + MIN(E9, G9) * (B9/2))</f>
        <v>5663.2</v>
      </c>
      <c r="I9" s="19">
        <f>MAX(0, G9-H9)</f>
        <v>61368.800000000003</v>
      </c>
      <c r="J9" s="19">
        <f>IF(G9&lt;0, ABS(G9), 0)</f>
        <v>0</v>
      </c>
      <c r="K9" s="20" t="str">
        <f>IF(G9&lt;=0, "Yes", "No")</f>
        <v>No</v>
      </c>
    </row>
    <row r="10" spans="1:11" ht="16" x14ac:dyDescent="0.35">
      <c r="A10" s="21" t="s">
        <v>18</v>
      </c>
      <c r="B10" s="22">
        <v>0.1</v>
      </c>
      <c r="C10" s="23">
        <v>0</v>
      </c>
      <c r="D10" s="23">
        <v>0</v>
      </c>
      <c r="E10" s="23">
        <v>0</v>
      </c>
      <c r="F10" s="23">
        <v>0</v>
      </c>
      <c r="G10" s="23">
        <f>C10+D10+E10-F10</f>
        <v>0</v>
      </c>
      <c r="H10" s="23">
        <f>IF(G10&lt;=0, 0, (G10 - MIN(E10, G10)) * B10 + MIN(E10, G10) * (B10/2))</f>
        <v>0</v>
      </c>
      <c r="I10" s="23">
        <f>MAX(0, G10-H10)</f>
        <v>0</v>
      </c>
      <c r="J10" s="23">
        <f>IF(G10&lt;0, ABS(G10), 0)</f>
        <v>0</v>
      </c>
      <c r="K10" s="24" t="str">
        <f>IF(G10&lt;=0, "Yes", "No")</f>
        <v>Yes</v>
      </c>
    </row>
    <row r="11" spans="1:11" ht="16" x14ac:dyDescent="0.35">
      <c r="A11" s="17" t="s">
        <v>19</v>
      </c>
      <c r="B11" s="18">
        <v>0.25</v>
      </c>
      <c r="C11" s="19">
        <v>0</v>
      </c>
      <c r="D11" s="19">
        <v>7500</v>
      </c>
      <c r="E11" s="19">
        <v>0</v>
      </c>
      <c r="F11" s="19">
        <v>0</v>
      </c>
      <c r="G11" s="19">
        <f>C11+D11+E11-F11</f>
        <v>7500</v>
      </c>
      <c r="H11" s="19">
        <f>IF(G11&lt;=0, 0, (G11 - MIN(E11, G11)) * B11 + MIN(E11, G11) * (B11/2))</f>
        <v>1875</v>
      </c>
      <c r="I11" s="19">
        <f>MAX(0, G11-H11)</f>
        <v>5625</v>
      </c>
      <c r="J11" s="19">
        <f>IF(G11&lt;0, ABS(G11), 0)</f>
        <v>0</v>
      </c>
      <c r="K11" s="20" t="str">
        <f>IF(G11&lt;=0, "Yes", "No")</f>
        <v>No</v>
      </c>
    </row>
    <row r="12" spans="1:11" ht="16.5" thickBot="1" x14ac:dyDescent="0.4">
      <c r="A12" s="25" t="s">
        <v>20</v>
      </c>
      <c r="B12" s="25"/>
      <c r="C12" s="16">
        <f t="shared" ref="C12:J12" si="0">SUM(C7:C11)</f>
        <v>1328855</v>
      </c>
      <c r="D12" s="16">
        <f t="shared" si="0"/>
        <v>1506783.01</v>
      </c>
      <c r="E12" s="16">
        <f t="shared" si="0"/>
        <v>924704.58</v>
      </c>
      <c r="F12" s="16">
        <f t="shared" si="0"/>
        <v>317915</v>
      </c>
      <c r="G12" s="16">
        <f t="shared" si="0"/>
        <v>3442427.59</v>
      </c>
      <c r="H12" s="16">
        <f t="shared" si="0"/>
        <v>469371.66124999995</v>
      </c>
      <c r="I12" s="16">
        <f t="shared" si="0"/>
        <v>2973055.9287499995</v>
      </c>
      <c r="J12" s="16">
        <f t="shared" si="0"/>
        <v>0</v>
      </c>
      <c r="K12" s="12"/>
    </row>
    <row r="13" spans="1:11" ht="15" thickTop="1" x14ac:dyDescent="0.35"/>
    <row r="15" spans="1:11" ht="21" x14ac:dyDescent="0.35">
      <c r="A15" s="1" t="s">
        <v>21</v>
      </c>
    </row>
    <row r="16" spans="1:11" ht="48" x14ac:dyDescent="0.35">
      <c r="A16" s="4" t="s">
        <v>3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</row>
    <row r="17" spans="1:6" ht="16" x14ac:dyDescent="0.35">
      <c r="A17" s="5" t="s">
        <v>16</v>
      </c>
      <c r="B17" s="5" t="s">
        <v>27</v>
      </c>
      <c r="C17" s="3" t="s">
        <v>28</v>
      </c>
      <c r="D17" s="7">
        <v>1132364.6100000001</v>
      </c>
      <c r="E17" s="6">
        <v>0</v>
      </c>
      <c r="F17" s="3" t="s">
        <v>28</v>
      </c>
    </row>
    <row r="18" spans="1:6" ht="16" x14ac:dyDescent="0.35">
      <c r="A18" s="8" t="s">
        <v>16</v>
      </c>
      <c r="B18" s="8" t="s">
        <v>27</v>
      </c>
      <c r="C18" s="11" t="s">
        <v>29</v>
      </c>
      <c r="D18" s="10">
        <v>23635.4</v>
      </c>
      <c r="E18" s="9">
        <v>0</v>
      </c>
      <c r="F18" s="11" t="s">
        <v>29</v>
      </c>
    </row>
    <row r="19" spans="1:6" ht="16" x14ac:dyDescent="0.35">
      <c r="A19" s="5" t="s">
        <v>16</v>
      </c>
      <c r="B19" s="5" t="s">
        <v>27</v>
      </c>
      <c r="C19" s="3" t="s">
        <v>29</v>
      </c>
      <c r="D19" s="7">
        <v>151233</v>
      </c>
      <c r="E19" s="6">
        <v>0</v>
      </c>
      <c r="F19" s="3" t="s">
        <v>29</v>
      </c>
    </row>
    <row r="20" spans="1:6" ht="16" x14ac:dyDescent="0.35">
      <c r="A20" s="8" t="s">
        <v>15</v>
      </c>
      <c r="B20" s="8" t="s">
        <v>30</v>
      </c>
      <c r="C20" s="11" t="s">
        <v>31</v>
      </c>
      <c r="D20" s="10">
        <v>24900</v>
      </c>
      <c r="E20" s="9">
        <v>0</v>
      </c>
      <c r="F20" s="11" t="s">
        <v>31</v>
      </c>
    </row>
    <row r="21" spans="1:6" ht="16" x14ac:dyDescent="0.35">
      <c r="A21" s="5" t="s">
        <v>15</v>
      </c>
      <c r="B21" s="5" t="s">
        <v>30</v>
      </c>
      <c r="C21" s="3" t="s">
        <v>32</v>
      </c>
      <c r="D21" s="7">
        <v>25423.73</v>
      </c>
      <c r="E21" s="6">
        <v>0</v>
      </c>
      <c r="F21" s="3" t="s">
        <v>32</v>
      </c>
    </row>
    <row r="22" spans="1:6" ht="16" x14ac:dyDescent="0.35">
      <c r="A22" s="8" t="s">
        <v>17</v>
      </c>
      <c r="B22" s="8" t="s">
        <v>33</v>
      </c>
      <c r="C22" s="11" t="s">
        <v>34</v>
      </c>
      <c r="D22" s="10">
        <v>17000</v>
      </c>
      <c r="E22" s="9">
        <v>0</v>
      </c>
      <c r="F22" s="11" t="s">
        <v>34</v>
      </c>
    </row>
    <row r="23" spans="1:6" ht="16" x14ac:dyDescent="0.35">
      <c r="A23" s="5" t="s">
        <v>17</v>
      </c>
      <c r="B23" s="5" t="s">
        <v>33</v>
      </c>
      <c r="C23" s="3" t="s">
        <v>35</v>
      </c>
      <c r="D23" s="7">
        <v>20800</v>
      </c>
      <c r="E23" s="6">
        <v>0</v>
      </c>
      <c r="F23" s="3" t="s">
        <v>35</v>
      </c>
    </row>
    <row r="24" spans="1:6" ht="16" x14ac:dyDescent="0.35">
      <c r="A24" s="8" t="s">
        <v>16</v>
      </c>
      <c r="B24" s="8" t="s">
        <v>36</v>
      </c>
      <c r="C24" s="11" t="s">
        <v>37</v>
      </c>
      <c r="D24" s="10">
        <v>152050</v>
      </c>
      <c r="E24" s="9">
        <v>0</v>
      </c>
      <c r="F24" s="11" t="s">
        <v>37</v>
      </c>
    </row>
    <row r="25" spans="1:6" ht="16" x14ac:dyDescent="0.35">
      <c r="A25" s="5" t="s">
        <v>16</v>
      </c>
      <c r="B25" s="5" t="s">
        <v>36</v>
      </c>
      <c r="C25" s="3" t="s">
        <v>38</v>
      </c>
      <c r="D25" s="7">
        <v>149050</v>
      </c>
      <c r="E25" s="6">
        <v>0</v>
      </c>
      <c r="F25" s="3" t="s">
        <v>38</v>
      </c>
    </row>
    <row r="26" spans="1:6" ht="16" x14ac:dyDescent="0.35">
      <c r="A26" s="8" t="s">
        <v>15</v>
      </c>
      <c r="B26" s="8" t="s">
        <v>39</v>
      </c>
      <c r="C26" s="11" t="s">
        <v>40</v>
      </c>
      <c r="D26" s="10">
        <v>23000</v>
      </c>
      <c r="E26" s="9">
        <v>0</v>
      </c>
      <c r="F26" s="11" t="s">
        <v>40</v>
      </c>
    </row>
    <row r="27" spans="1:6" ht="16" x14ac:dyDescent="0.35">
      <c r="A27" s="5" t="s">
        <v>16</v>
      </c>
      <c r="B27" s="5" t="s">
        <v>41</v>
      </c>
      <c r="C27" s="3" t="s">
        <v>42</v>
      </c>
      <c r="D27" s="7">
        <v>580300.85</v>
      </c>
      <c r="E27" s="6">
        <v>0</v>
      </c>
      <c r="F27" s="3" t="s">
        <v>42</v>
      </c>
    </row>
    <row r="28" spans="1:6" ht="16" x14ac:dyDescent="0.35">
      <c r="A28" s="8" t="s">
        <v>16</v>
      </c>
      <c r="B28" s="8" t="s">
        <v>41</v>
      </c>
      <c r="C28" s="11" t="s">
        <v>42</v>
      </c>
      <c r="D28" s="10">
        <v>52219</v>
      </c>
      <c r="E28" s="9">
        <v>0</v>
      </c>
      <c r="F28" s="11" t="s">
        <v>42</v>
      </c>
    </row>
    <row r="29" spans="1:6" ht="16" x14ac:dyDescent="0.35">
      <c r="A29" s="5" t="s">
        <v>16</v>
      </c>
      <c r="B29" s="5" t="s">
        <v>41</v>
      </c>
      <c r="C29" s="3" t="s">
        <v>42</v>
      </c>
      <c r="D29" s="7">
        <v>13000</v>
      </c>
      <c r="E29" s="6">
        <v>0</v>
      </c>
      <c r="F29" s="3" t="s">
        <v>42</v>
      </c>
    </row>
    <row r="30" spans="1:6" ht="16" x14ac:dyDescent="0.35">
      <c r="A30" s="8" t="s">
        <v>16</v>
      </c>
      <c r="B30" s="8" t="s">
        <v>41</v>
      </c>
      <c r="C30" s="11" t="s">
        <v>43</v>
      </c>
      <c r="D30" s="10">
        <v>16049</v>
      </c>
      <c r="E30" s="9">
        <v>0</v>
      </c>
      <c r="F30" s="11" t="s">
        <v>43</v>
      </c>
    </row>
    <row r="31" spans="1:6" ht="16" x14ac:dyDescent="0.35">
      <c r="A31" s="5" t="s">
        <v>16</v>
      </c>
      <c r="B31" s="5" t="s">
        <v>41</v>
      </c>
      <c r="C31" s="3" t="s">
        <v>43</v>
      </c>
      <c r="D31" s="7">
        <v>7962</v>
      </c>
      <c r="E31" s="6">
        <v>0</v>
      </c>
      <c r="F31" s="3" t="s">
        <v>43</v>
      </c>
    </row>
    <row r="32" spans="1:6" ht="16" x14ac:dyDescent="0.35">
      <c r="A32" s="8" t="s">
        <v>19</v>
      </c>
      <c r="B32" s="8" t="s">
        <v>44</v>
      </c>
      <c r="C32" s="11" t="s">
        <v>45</v>
      </c>
      <c r="D32" s="10">
        <v>3000</v>
      </c>
      <c r="E32" s="9">
        <v>0</v>
      </c>
      <c r="F32" s="11" t="s">
        <v>45</v>
      </c>
    </row>
    <row r="33" spans="1:6" ht="16" x14ac:dyDescent="0.35">
      <c r="A33" s="5" t="s">
        <v>19</v>
      </c>
      <c r="B33" s="5" t="s">
        <v>44</v>
      </c>
      <c r="C33" s="3" t="s">
        <v>46</v>
      </c>
      <c r="D33" s="7">
        <v>4500</v>
      </c>
      <c r="E33" s="6">
        <v>0</v>
      </c>
      <c r="F33" s="3" t="s">
        <v>46</v>
      </c>
    </row>
    <row r="34" spans="1:6" ht="16" x14ac:dyDescent="0.35">
      <c r="A34" s="8" t="s">
        <v>16</v>
      </c>
      <c r="B34" s="8" t="s">
        <v>47</v>
      </c>
      <c r="C34" s="11" t="s">
        <v>48</v>
      </c>
      <c r="D34" s="10">
        <v>35000</v>
      </c>
      <c r="E34" s="9">
        <v>0</v>
      </c>
      <c r="F34" s="11" t="s">
        <v>48</v>
      </c>
    </row>
  </sheetData>
  <mergeCells count="2">
    <mergeCell ref="D5:E5"/>
    <mergeCell ref="A12:B12"/>
  </mergeCells>
  <pageMargins left="0.7" right="0.7" top="0.75" bottom="0.75" header="0.3" footer="0.3"/>
  <ignoredErrors>
    <ignoredError sqref="A1:K4 A9:K11 A8:E8 G8:K8 A6:K7 A5:D5 F5:K5 A13:K34 A12 C12:K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Dell05</cp:lastModifiedBy>
  <dcterms:modified xsi:type="dcterms:W3CDTF">2026-07-08T09:12:32Z</dcterms:modified>
</cp:coreProperties>
</file>