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 Applicable" sheetId="1" r:id="rId1"/>
    <sheet name="TDS Not Applicable" sheetId="2" r:id="rId2"/>
    <sheet name="PAN Requir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0.0&quot;%&quot;"/>
    <numFmt numFmtId="166" formatCode="0.0&quot;%&quot;"/>
  </numFmts>
  <fonts count="19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0"/>
      <name val="Calibri"/>
      <i/>
      <color rgb="1F2937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  <color rgb="2563EB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  <color rgb="2563EB"/>
    </font>
    <font>
      <sz val="9"/>
      <name val="Calibri"/>
      <b/>
    </font>
    <font>
      <sz val="9"/>
      <name val="Calibri"/>
      <b/>
    </font>
    <font>
      <sz val="9"/>
      <name val="Calibri"/>
      <b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F1F5F9"/>
        <bgColor/>
      </patternFill>
    </fill>
    <fill>
      <patternFill patternType="solid">
        <fgColor rgb="FF1E3A8A"/>
        <bgColor/>
      </patternFill>
    </fill>
    <fill>
      <patternFill patternType="solid">
        <fgColor rgb="FF1E3A5F"/>
        <bgColor/>
      </patternFill>
    </fill>
    <fill>
      <patternFill patternType="solid">
        <fgColor rgb="FF0D7A5F"/>
        <bgColor/>
      </patternFill>
    </fill>
    <fill>
      <patternFill patternType="solid">
        <fgColor rgb="FFB45309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 style="medium">
        <color rgb="0F172A"/>
      </top>
      <bottom style="double">
        <color rgb="0F172A"/>
      </bottom>
      <diagonal/>
    </border>
    <border>
      <left/>
      <right/>
      <top style="medium">
        <color rgb="0F172A"/>
      </top>
      <bottom style="double">
        <color rgb="0F172A"/>
      </bottom>
      <diagonal/>
    </border>
    <border>
      <left/>
      <right/>
      <top style="medium">
        <color rgb="0F172A"/>
      </top>
      <bottom style="double">
        <color rgb="0F172A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/>
    </xf>
    <xf numFmtId="4" fontId="9" fillId="9" borderId="7" xfId="0" applyFont="1" applyFill="1" applyBorder="1" applyNumberFormat="1" applyAlignment="1">
      <alignment horizontal="right" vertical="center"/>
    </xf>
    <xf numFmtId="165" fontId="10" fillId="10" borderId="8" xfId="0" applyFont="1" applyFill="1" applyBorder="1" applyNumberFormat="1" applyAlignment="1">
      <alignment horizontal="center" vertical="center"/>
    </xf>
    <xf numFmtId="0" fontId="11" fillId="11" borderId="9" xfId="0" applyFont="1" applyFill="1" applyBorder="1" applyAlignment="1">
      <alignment horizontal="left" vertical="center"/>
    </xf>
    <xf numFmtId="0" fontId="12" fillId="12" borderId="10" xfId="0" applyFont="1" applyFill="1" applyBorder="1" applyAlignment="1">
      <alignment horizontal="left" vertical="center"/>
    </xf>
    <xf numFmtId="4" fontId="13" fillId="13" borderId="11" xfId="0" applyFont="1" applyFill="1" applyBorder="1" applyNumberFormat="1" applyAlignment="1">
      <alignment horizontal="right" vertical="center"/>
    </xf>
    <xf numFmtId="166" fontId="14" fillId="14" borderId="12" xfId="0" applyFont="1" applyFill="1" applyBorder="1" applyNumberFormat="1" applyAlignment="1">
      <alignment horizontal="center" vertical="center"/>
    </xf>
    <xf numFmtId="0" fontId="15" fillId="15" borderId="13" xfId="0" applyFont="1" applyFill="1" applyBorder="1" applyAlignment="1">
      <alignment horizontal="left" vertical="center"/>
    </xf>
    <xf numFmtId="0" fontId="16" fillId="16" borderId="14" xfId="0" applyFont="1" applyFill="1" applyBorder="1" applyAlignment="1">
      <alignment horizontal="left" vertical="center"/>
    </xf>
    <xf numFmtId="4" fontId="17" fillId="17" borderId="15" xfId="0" applyFont="1" applyFill="1" applyBorder="1" applyNumberFormat="1" applyAlignment="1">
      <alignment horizontal="right" vertical="center"/>
    </xf>
    <xf numFmtId="0" fontId="18" fillId="18" borderId="16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25.83203125" customWidth="1"/>
    <col min="5" max="5" width="18.83203125" customWidth="1"/>
    <col min="6" max="6" width="1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60.83203125" customWidth="1"/>
  </cols>
  <sheetData>
    <row r="1">
      <c r="A1" s="3" t="str">
        <v>TDS APPLICABLE SUMMARY - TDS_REPORT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4" t="str">
        <v>Generated on: 24/6/2026, 12:28:20 pm | Powered by Vaswani Return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</row>
    <row r="4">
      <c r="A4" s="5" t="str">
        <v>Party Name</v>
      </c>
      <c r="B4" s="5" t="str">
        <v>PAN</v>
      </c>
      <c r="C4" s="5" t="str">
        <v>Section</v>
      </c>
      <c r="D4" s="5" t="str">
        <v>Expense Ledgers</v>
      </c>
      <c r="E4" s="6" t="str">
        <v>Taxable (Books)</v>
      </c>
      <c r="F4" s="6" t="str">
        <v>TDS Rate (%)</v>
      </c>
      <c r="G4" s="6" t="str">
        <v>Req. TDS (Books)</v>
      </c>
      <c r="H4" s="6" t="str">
        <v>Actual TDS (Books)</v>
      </c>
      <c r="I4" s="7" t="str">
        <v>Taxable (26Q)</v>
      </c>
      <c r="J4" s="7" t="str">
        <v>TDS (26Q)</v>
      </c>
      <c r="K4" s="8" t="str">
        <v>Taxable Variance</v>
      </c>
      <c r="L4" s="8" t="str">
        <v>TDS Variance</v>
      </c>
      <c r="M4" s="5" t="str">
        <v>Status</v>
      </c>
      <c r="N4" s="5" t="str">
        <v>Applicability Reason</v>
      </c>
    </row>
    <row r="5">
      <c r="A5" s="9" t="str">
        <v xml:space="preserve">AKASH MASU </v>
      </c>
      <c r="B5" s="9" t="str">
        <v>NNBPK1408M</v>
      </c>
      <c r="C5" s="9" t="str">
        <v xml:space="preserve">194C </v>
      </c>
      <c r="D5" s="9" t="str">
        <v/>
      </c>
      <c r="E5" s="10">
        <v>0</v>
      </c>
      <c r="F5" s="11">
        <v>0</v>
      </c>
      <c r="G5" s="10">
        <f>ROUND(E5*F5/100, 0)</f>
        <v>0</v>
      </c>
      <c r="H5" s="10">
        <v>0</v>
      </c>
      <c r="I5" s="10">
        <v>122500</v>
      </c>
      <c r="J5" s="10">
        <v>1225</v>
      </c>
      <c r="K5" s="10">
        <f>E5-I5</f>
        <v>-122500</v>
      </c>
      <c r="L5" s="10">
        <f>G5-J5</f>
        <v>-1225</v>
      </c>
      <c r="M5" s="12" t="str">
        <v>Missing in Books</v>
      </c>
      <c r="N5" s="9" t="str">
        <v>No expense entries found in Books (Directly reported in Form 26Q)</v>
      </c>
    </row>
    <row r="6">
      <c r="A6" s="13" t="str">
        <v xml:space="preserve">D.K.INFRASOLUTIONS </v>
      </c>
      <c r="B6" s="13" t="str">
        <v>ELZPK0261F</v>
      </c>
      <c r="C6" s="13" t="str">
        <v xml:space="preserve">194C </v>
      </c>
      <c r="D6" s="13" t="str">
        <v/>
      </c>
      <c r="E6" s="14">
        <v>0</v>
      </c>
      <c r="F6" s="15">
        <v>0</v>
      </c>
      <c r="G6" s="14">
        <f>ROUND(E6*F6/100, 0)</f>
        <v>0</v>
      </c>
      <c r="H6" s="14">
        <v>0</v>
      </c>
      <c r="I6" s="14">
        <v>491400</v>
      </c>
      <c r="J6" s="14">
        <v>8178</v>
      </c>
      <c r="K6" s="14">
        <f>E6-I6</f>
        <v>-491400</v>
      </c>
      <c r="L6" s="14">
        <f>G6-J6</f>
        <v>-8178</v>
      </c>
      <c r="M6" s="16" t="str">
        <v>Missing in Books</v>
      </c>
      <c r="N6" s="13" t="str">
        <v>No expense entries found in Books (Directly reported in Form 26Q)</v>
      </c>
    </row>
    <row r="7">
      <c r="A7" s="9" t="str">
        <v xml:space="preserve">GAMMAX NDT SERVICES (OPC)PVT LTD </v>
      </c>
      <c r="B7" s="9" t="str">
        <v>AAKCG7884P</v>
      </c>
      <c r="C7" s="9" t="str">
        <v xml:space="preserve">194C </v>
      </c>
      <c r="D7" s="9" t="str">
        <v/>
      </c>
      <c r="E7" s="10">
        <v>0</v>
      </c>
      <c r="F7" s="11">
        <v>0</v>
      </c>
      <c r="G7" s="10">
        <f>ROUND(E7*F7/100, 0)</f>
        <v>0</v>
      </c>
      <c r="H7" s="10">
        <v>0</v>
      </c>
      <c r="I7" s="10">
        <v>20491</v>
      </c>
      <c r="J7" s="10">
        <v>410</v>
      </c>
      <c r="K7" s="10">
        <f>E7-I7</f>
        <v>-20491</v>
      </c>
      <c r="L7" s="10">
        <f>G7-J7</f>
        <v>-410</v>
      </c>
      <c r="M7" s="12" t="str">
        <v>Missing in Books</v>
      </c>
      <c r="N7" s="9" t="str">
        <v>No expense entries found in Books (Directly reported in Form 26Q)</v>
      </c>
    </row>
    <row r="8">
      <c r="A8" s="13" t="str">
        <v xml:space="preserve">GLOBAL NDT PVT LTD </v>
      </c>
      <c r="B8" s="13" t="str">
        <v>AAKCG4600P</v>
      </c>
      <c r="C8" s="13" t="str">
        <v xml:space="preserve">194C </v>
      </c>
      <c r="D8" s="13" t="str">
        <v/>
      </c>
      <c r="E8" s="14">
        <v>0</v>
      </c>
      <c r="F8" s="15">
        <v>0</v>
      </c>
      <c r="G8" s="14">
        <f>ROUND(E8*F8/100, 0)</f>
        <v>0</v>
      </c>
      <c r="H8" s="14">
        <v>0</v>
      </c>
      <c r="I8" s="14">
        <v>123300</v>
      </c>
      <c r="J8" s="14">
        <v>2466</v>
      </c>
      <c r="K8" s="14">
        <f>E8-I8</f>
        <v>-123300</v>
      </c>
      <c r="L8" s="14">
        <f>G8-J8</f>
        <v>-2466</v>
      </c>
      <c r="M8" s="16" t="str">
        <v>Missing in Books</v>
      </c>
      <c r="N8" s="13" t="str">
        <v>No expense entries found in Books (Directly reported in Form 26Q)</v>
      </c>
    </row>
    <row r="9">
      <c r="A9" s="9" t="str">
        <v xml:space="preserve">K R ENGINEERING </v>
      </c>
      <c r="B9" s="9" t="str">
        <v>BRMPM1337E</v>
      </c>
      <c r="C9" s="9" t="str">
        <v xml:space="preserve">194C </v>
      </c>
      <c r="D9" s="9" t="str">
        <v/>
      </c>
      <c r="E9" s="10">
        <v>0</v>
      </c>
      <c r="F9" s="11">
        <v>0</v>
      </c>
      <c r="G9" s="10">
        <f>ROUND(E9*F9/100, 0)</f>
        <v>0</v>
      </c>
      <c r="H9" s="10">
        <v>0</v>
      </c>
      <c r="I9" s="10">
        <v>945009</v>
      </c>
      <c r="J9" s="10">
        <v>9450</v>
      </c>
      <c r="K9" s="10">
        <f>E9-I9</f>
        <v>-945009</v>
      </c>
      <c r="L9" s="10">
        <f>G9-J9</f>
        <v>-9450</v>
      </c>
      <c r="M9" s="12" t="str">
        <v>Missing in Books</v>
      </c>
      <c r="N9" s="9" t="str">
        <v>No expense entries found in Books (Directly reported in Form 26Q)</v>
      </c>
    </row>
    <row r="10">
      <c r="A10" s="13" t="str">
        <v xml:space="preserve">MAYURI SUPPLIERS </v>
      </c>
      <c r="B10" s="13" t="str">
        <v>BNAPB2502G</v>
      </c>
      <c r="C10" s="13" t="str">
        <v xml:space="preserve">194C </v>
      </c>
      <c r="D10" s="13" t="str">
        <v/>
      </c>
      <c r="E10" s="14">
        <v>0</v>
      </c>
      <c r="F10" s="15">
        <v>0</v>
      </c>
      <c r="G10" s="14">
        <f>ROUND(E10*F10/100, 0)</f>
        <v>0</v>
      </c>
      <c r="H10" s="14">
        <v>0</v>
      </c>
      <c r="I10" s="14">
        <v>63000</v>
      </c>
      <c r="J10" s="14">
        <v>630</v>
      </c>
      <c r="K10" s="14">
        <f>E10-I10</f>
        <v>-63000</v>
      </c>
      <c r="L10" s="14">
        <f>G10-J10</f>
        <v>-630</v>
      </c>
      <c r="M10" s="16" t="str">
        <v>Missing in Books</v>
      </c>
      <c r="N10" s="13" t="str">
        <v>No expense entries found in Books (Directly reported in Form 26Q)</v>
      </c>
    </row>
    <row r="11">
      <c r="A11" s="9" t="str">
        <v xml:space="preserve">MR.SADANAND BHASKAR SURYAWANSHI </v>
      </c>
      <c r="B11" s="9" t="str">
        <v>HVMPS3714R</v>
      </c>
      <c r="C11" s="9" t="str">
        <v xml:space="preserve">194C </v>
      </c>
      <c r="D11" s="9" t="str">
        <v/>
      </c>
      <c r="E11" s="10">
        <v>0</v>
      </c>
      <c r="F11" s="11">
        <v>0</v>
      </c>
      <c r="G11" s="10">
        <f>ROUND(E11*F11/100, 0)</f>
        <v>0</v>
      </c>
      <c r="H11" s="10">
        <v>0</v>
      </c>
      <c r="I11" s="10">
        <v>125834</v>
      </c>
      <c r="J11" s="10">
        <v>2517</v>
      </c>
      <c r="K11" s="10">
        <f>E11-I11</f>
        <v>-125834</v>
      </c>
      <c r="L11" s="10">
        <f>G11-J11</f>
        <v>-2517</v>
      </c>
      <c r="M11" s="12" t="str">
        <v>Missing in Books</v>
      </c>
      <c r="N11" s="9" t="str">
        <v>No expense entries found in Books (Directly reported in Form 26Q)</v>
      </c>
    </row>
    <row r="12">
      <c r="A12" s="13" t="str">
        <v xml:space="preserve">NAYAB YADAV </v>
      </c>
      <c r="B12" s="13" t="str">
        <v>BTJPY6821Q</v>
      </c>
      <c r="C12" s="13" t="str">
        <v xml:space="preserve">194C </v>
      </c>
      <c r="D12" s="13" t="str">
        <v/>
      </c>
      <c r="E12" s="14">
        <v>0</v>
      </c>
      <c r="F12" s="15">
        <v>0</v>
      </c>
      <c r="G12" s="14">
        <f>ROUND(E12*F12/100, 0)</f>
        <v>0</v>
      </c>
      <c r="H12" s="14">
        <v>0</v>
      </c>
      <c r="I12" s="14">
        <v>33100</v>
      </c>
      <c r="J12" s="14">
        <v>331</v>
      </c>
      <c r="K12" s="14">
        <f>E12-I12</f>
        <v>-33100</v>
      </c>
      <c r="L12" s="14">
        <f>G12-J12</f>
        <v>-331</v>
      </c>
      <c r="M12" s="16" t="str">
        <v>Missing in Books</v>
      </c>
      <c r="N12" s="13" t="str">
        <v>No expense entries found in Books (Directly reported in Form 26Q)</v>
      </c>
    </row>
    <row r="13">
      <c r="A13" s="9" t="str">
        <v>PRASHANT BHARAT BARASKAR</v>
      </c>
      <c r="B13" s="9" t="str">
        <v>CNDPB4073N</v>
      </c>
      <c r="C13" s="9" t="str">
        <v xml:space="preserve">194C </v>
      </c>
      <c r="D13" s="9" t="str">
        <v/>
      </c>
      <c r="E13" s="10">
        <v>0</v>
      </c>
      <c r="F13" s="11">
        <v>0</v>
      </c>
      <c r="G13" s="10">
        <f>ROUND(E13*F13/100, 0)</f>
        <v>0</v>
      </c>
      <c r="H13" s="10">
        <v>0</v>
      </c>
      <c r="I13" s="10">
        <v>73250</v>
      </c>
      <c r="J13" s="10">
        <v>732</v>
      </c>
      <c r="K13" s="10">
        <f>E13-I13</f>
        <v>-73250</v>
      </c>
      <c r="L13" s="10">
        <f>G13-J13</f>
        <v>-732</v>
      </c>
      <c r="M13" s="12" t="str">
        <v>Missing in Books</v>
      </c>
      <c r="N13" s="9" t="str">
        <v>No expense entries found in Books (Directly reported in Form 26Q)</v>
      </c>
    </row>
    <row r="14">
      <c r="A14" s="13" t="str">
        <v xml:space="preserve">RAHUL SHANKAR UGALE </v>
      </c>
      <c r="B14" s="13" t="str">
        <v>AEOPU0190F</v>
      </c>
      <c r="C14" s="13" t="str">
        <v xml:space="preserve">194C </v>
      </c>
      <c r="D14" s="13" t="str">
        <v/>
      </c>
      <c r="E14" s="14">
        <v>0</v>
      </c>
      <c r="F14" s="15">
        <v>0</v>
      </c>
      <c r="G14" s="14">
        <f>ROUND(E14*F14/100, 0)</f>
        <v>0</v>
      </c>
      <c r="H14" s="14">
        <v>0</v>
      </c>
      <c r="I14" s="14">
        <v>1587110</v>
      </c>
      <c r="J14" s="14">
        <v>15871</v>
      </c>
      <c r="K14" s="14">
        <f>E14-I14</f>
        <v>-1587110</v>
      </c>
      <c r="L14" s="14">
        <f>G14-J14</f>
        <v>-15871</v>
      </c>
      <c r="M14" s="16" t="str">
        <v>Missing in Books</v>
      </c>
      <c r="N14" s="13" t="str">
        <v>No expense entries found in Books (Directly reported in Form 26Q)</v>
      </c>
    </row>
    <row r="15">
      <c r="A15" s="9" t="str">
        <v xml:space="preserve">SAI SHAURYA TECHNICAL </v>
      </c>
      <c r="B15" s="9" t="str">
        <v>ADXFS9530P</v>
      </c>
      <c r="C15" s="9" t="str">
        <v xml:space="preserve">194C </v>
      </c>
      <c r="D15" s="9" t="str">
        <v/>
      </c>
      <c r="E15" s="10">
        <v>0</v>
      </c>
      <c r="F15" s="11">
        <v>0</v>
      </c>
      <c r="G15" s="10">
        <f>ROUND(E15*F15/100, 0)</f>
        <v>0</v>
      </c>
      <c r="H15" s="10">
        <v>0</v>
      </c>
      <c r="I15" s="10">
        <v>74150</v>
      </c>
      <c r="J15" s="10">
        <v>1483</v>
      </c>
      <c r="K15" s="10">
        <f>E15-I15</f>
        <v>-74150</v>
      </c>
      <c r="L15" s="10">
        <f>G15-J15</f>
        <v>-1483</v>
      </c>
      <c r="M15" s="12" t="str">
        <v>Missing in Books</v>
      </c>
      <c r="N15" s="9" t="str">
        <v>No expense entries found in Books (Directly reported in Form 26Q)</v>
      </c>
    </row>
    <row r="16">
      <c r="A16" s="13" t="str">
        <v xml:space="preserve">SAIRAJ ENTERPRISES </v>
      </c>
      <c r="B16" s="13" t="str">
        <v>DJWPG8854E</v>
      </c>
      <c r="C16" s="13" t="str">
        <v xml:space="preserve">194C </v>
      </c>
      <c r="D16" s="13" t="str">
        <v/>
      </c>
      <c r="E16" s="14">
        <v>0</v>
      </c>
      <c r="F16" s="15">
        <v>0</v>
      </c>
      <c r="G16" s="14">
        <f>ROUND(E16*F16/100, 0)</f>
        <v>0</v>
      </c>
      <c r="H16" s="14">
        <v>0</v>
      </c>
      <c r="I16" s="14">
        <v>236000</v>
      </c>
      <c r="J16" s="14">
        <v>3215</v>
      </c>
      <c r="K16" s="14">
        <f>E16-I16</f>
        <v>-236000</v>
      </c>
      <c r="L16" s="14">
        <f>G16-J16</f>
        <v>-3215</v>
      </c>
      <c r="M16" s="16" t="str">
        <v>Missing in Books</v>
      </c>
      <c r="N16" s="13" t="str">
        <v>No expense entries found in Books (Directly reported in Form 26Q)</v>
      </c>
    </row>
    <row r="17">
      <c r="A17" s="9" t="str">
        <v xml:space="preserve">SAKSHI SERVICES AND CONSTRUCTION </v>
      </c>
      <c r="B17" s="9" t="str">
        <v>AKJPJ0290J</v>
      </c>
      <c r="C17" s="9" t="str">
        <v xml:space="preserve">194C </v>
      </c>
      <c r="D17" s="9" t="str">
        <v/>
      </c>
      <c r="E17" s="10">
        <v>0</v>
      </c>
      <c r="F17" s="11">
        <v>0</v>
      </c>
      <c r="G17" s="10">
        <f>ROUND(E17*F17/100, 0)</f>
        <v>0</v>
      </c>
      <c r="H17" s="10">
        <v>0</v>
      </c>
      <c r="I17" s="10">
        <v>255000</v>
      </c>
      <c r="J17" s="10">
        <v>5070</v>
      </c>
      <c r="K17" s="10">
        <f>E17-I17</f>
        <v>-255000</v>
      </c>
      <c r="L17" s="10">
        <f>G17-J17</f>
        <v>-5070</v>
      </c>
      <c r="M17" s="12" t="str">
        <v>Missing in Books</v>
      </c>
      <c r="N17" s="9" t="str">
        <v>No expense entries found in Books (Directly reported in Form 26Q)</v>
      </c>
    </row>
    <row r="18">
      <c r="A18" s="13" t="str">
        <v xml:space="preserve">SANTOSH KUMAR </v>
      </c>
      <c r="B18" s="13" t="str">
        <v>NABPS3275M</v>
      </c>
      <c r="C18" s="13" t="str">
        <v xml:space="preserve">194C </v>
      </c>
      <c r="D18" s="13" t="str">
        <v/>
      </c>
      <c r="E18" s="14">
        <v>0</v>
      </c>
      <c r="F18" s="15">
        <v>0</v>
      </c>
      <c r="G18" s="14">
        <f>ROUND(E18*F18/100, 0)</f>
        <v>0</v>
      </c>
      <c r="H18" s="14">
        <v>0</v>
      </c>
      <c r="I18" s="14">
        <v>108554</v>
      </c>
      <c r="J18" s="14">
        <v>1086</v>
      </c>
      <c r="K18" s="14">
        <f>E18-I18</f>
        <v>-108554</v>
      </c>
      <c r="L18" s="14">
        <f>G18-J18</f>
        <v>-1086</v>
      </c>
      <c r="M18" s="16" t="str">
        <v>Missing in Books</v>
      </c>
      <c r="N18" s="13" t="str">
        <v>No expense entries found in Books (Directly reported in Form 26Q)</v>
      </c>
    </row>
    <row r="19">
      <c r="A19" s="9" t="str">
        <v xml:space="preserve">SHIVAJI WAGH </v>
      </c>
      <c r="B19" s="9" t="str">
        <v>AIPPW8798L</v>
      </c>
      <c r="C19" s="9" t="str">
        <v xml:space="preserve">194C </v>
      </c>
      <c r="D19" s="9" t="str">
        <v/>
      </c>
      <c r="E19" s="10">
        <v>0</v>
      </c>
      <c r="F19" s="11">
        <v>0</v>
      </c>
      <c r="G19" s="10">
        <f>ROUND(E19*F19/100, 0)</f>
        <v>0</v>
      </c>
      <c r="H19" s="10">
        <v>0</v>
      </c>
      <c r="I19" s="10">
        <v>22500</v>
      </c>
      <c r="J19" s="10">
        <v>225</v>
      </c>
      <c r="K19" s="10">
        <f>E19-I19</f>
        <v>-22500</v>
      </c>
      <c r="L19" s="10">
        <f>G19-J19</f>
        <v>-225</v>
      </c>
      <c r="M19" s="12" t="str">
        <v>Missing in Books</v>
      </c>
      <c r="N19" s="9" t="str">
        <v>No expense entries found in Books (Directly reported in Form 26Q)</v>
      </c>
    </row>
    <row r="20">
      <c r="A20" s="13" t="str">
        <v xml:space="preserve">SIDDHARTH ENTEPRISES </v>
      </c>
      <c r="B20" s="13" t="str">
        <v>ABAPI4626D</v>
      </c>
      <c r="C20" s="13" t="str">
        <v xml:space="preserve">194C </v>
      </c>
      <c r="D20" s="13" t="str">
        <v/>
      </c>
      <c r="E20" s="14">
        <v>0</v>
      </c>
      <c r="F20" s="15">
        <v>0</v>
      </c>
      <c r="G20" s="14">
        <f>ROUND(E20*F20/100, 0)</f>
        <v>0</v>
      </c>
      <c r="H20" s="14">
        <v>0</v>
      </c>
      <c r="I20" s="14">
        <v>1036950</v>
      </c>
      <c r="J20" s="14">
        <v>20639</v>
      </c>
      <c r="K20" s="14">
        <f>E20-I20</f>
        <v>-1036950</v>
      </c>
      <c r="L20" s="14">
        <f>G20-J20</f>
        <v>-20639</v>
      </c>
      <c r="M20" s="16" t="str">
        <v>Missing in Books</v>
      </c>
      <c r="N20" s="13" t="str">
        <v>No expense entries found in Books (Directly reported in Form 26Q)</v>
      </c>
    </row>
    <row r="21">
      <c r="A21" s="9" t="str">
        <v xml:space="preserve">SOILGLOBE ENGINEERING PVT LTD </v>
      </c>
      <c r="B21" s="9" t="str">
        <v>ABMCS9835M</v>
      </c>
      <c r="C21" s="9" t="str">
        <v xml:space="preserve">194C </v>
      </c>
      <c r="D21" s="9" t="str">
        <v/>
      </c>
      <c r="E21" s="10">
        <v>0</v>
      </c>
      <c r="F21" s="11">
        <v>0</v>
      </c>
      <c r="G21" s="10">
        <f>ROUND(E21*F21/100, 0)</f>
        <v>0</v>
      </c>
      <c r="H21" s="10">
        <v>0</v>
      </c>
      <c r="I21" s="10">
        <v>72450</v>
      </c>
      <c r="J21" s="10">
        <v>1449</v>
      </c>
      <c r="K21" s="10">
        <f>E21-I21</f>
        <v>-72450</v>
      </c>
      <c r="L21" s="10">
        <f>G21-J21</f>
        <v>-1449</v>
      </c>
      <c r="M21" s="12" t="str">
        <v>Missing in Books</v>
      </c>
      <c r="N21" s="9" t="str">
        <v>No expense entries found in Books (Directly reported in Form 26Q)</v>
      </c>
    </row>
    <row r="22">
      <c r="A22" s="13" t="str">
        <v xml:space="preserve">VIKRAM BEARD </v>
      </c>
      <c r="B22" s="13" t="str">
        <v>ALQPB0099R</v>
      </c>
      <c r="C22" s="13" t="str">
        <v xml:space="preserve">194C </v>
      </c>
      <c r="D22" s="13" t="str">
        <v/>
      </c>
      <c r="E22" s="14">
        <v>0</v>
      </c>
      <c r="F22" s="15">
        <v>0</v>
      </c>
      <c r="G22" s="14">
        <f>ROUND(E22*F22/100, 0)</f>
        <v>0</v>
      </c>
      <c r="H22" s="14">
        <v>0</v>
      </c>
      <c r="I22" s="14">
        <v>132200</v>
      </c>
      <c r="J22" s="14">
        <v>1322</v>
      </c>
      <c r="K22" s="14">
        <f>E22-I22</f>
        <v>-132200</v>
      </c>
      <c r="L22" s="14">
        <f>G22-J22</f>
        <v>-1322</v>
      </c>
      <c r="M22" s="16" t="str">
        <v>Missing in Books</v>
      </c>
      <c r="N22" s="13" t="str">
        <v>No expense entries found in Books (Directly reported in Form 26Q)</v>
      </c>
    </row>
    <row r="23">
      <c r="A23" s="9" t="str">
        <v xml:space="preserve">VILAS TUKARAM SHINDE </v>
      </c>
      <c r="B23" s="9" t="str">
        <v>CFUPS3949K</v>
      </c>
      <c r="C23" s="9" t="str">
        <v xml:space="preserve">194C </v>
      </c>
      <c r="D23" s="9" t="str">
        <v/>
      </c>
      <c r="E23" s="10">
        <v>0</v>
      </c>
      <c r="F23" s="11">
        <v>0</v>
      </c>
      <c r="G23" s="10">
        <f>ROUND(E23*F23/100, 0)</f>
        <v>0</v>
      </c>
      <c r="H23" s="10">
        <v>0</v>
      </c>
      <c r="I23" s="10">
        <v>279509</v>
      </c>
      <c r="J23" s="10">
        <v>2795</v>
      </c>
      <c r="K23" s="10">
        <f>E23-I23</f>
        <v>-279509</v>
      </c>
      <c r="L23" s="10">
        <f>G23-J23</f>
        <v>-2795</v>
      </c>
      <c r="M23" s="12" t="str">
        <v>Missing in Books</v>
      </c>
      <c r="N23" s="9" t="str">
        <v>No expense entries found in Books (Directly reported in Form 26Q)</v>
      </c>
    </row>
    <row r="24">
      <c r="A24" s="17" t="str">
        <v>GRAND TOTAL</v>
      </c>
      <c r="B24" s="17" t="str">
        <v/>
      </c>
      <c r="C24" s="17" t="str">
        <v/>
      </c>
      <c r="D24" s="17" t="str">
        <v/>
      </c>
      <c r="E24" s="18">
        <f>SUM(E5:E23)</f>
        <v>0</v>
      </c>
      <c r="F24" s="19" t="str">
        <v/>
      </c>
      <c r="G24" s="18">
        <f>SUM(G5:G23)</f>
        <v>0</v>
      </c>
      <c r="H24" s="18">
        <f>SUM(H5:H23)</f>
        <v>0</v>
      </c>
      <c r="I24" s="18">
        <f>SUM(I5:I23)</f>
        <v>5802307</v>
      </c>
      <c r="J24" s="18">
        <f>SUM(J5:J23)</f>
        <v>79094</v>
      </c>
      <c r="K24" s="18">
        <f>SUM(K5:K23)</f>
        <v>-5802307</v>
      </c>
      <c r="L24" s="18">
        <f>SUM(L5:L23)</f>
        <v>-79094</v>
      </c>
      <c r="M24" s="17" t="str">
        <v/>
      </c>
      <c r="N24" s="17" t="str">
        <v/>
      </c>
    </row>
  </sheetData>
  <mergeCells count="2">
    <mergeCell ref="A1:N1"/>
    <mergeCell ref="A2:N2"/>
  </mergeCells>
  <ignoredErrors>
    <ignoredError numberStoredAsText="1" sqref="A1:N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25.83203125" customWidth="1"/>
    <col min="5" max="5" width="18.83203125" customWidth="1"/>
    <col min="6" max="6" width="1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60.83203125" customWidth="1"/>
  </cols>
  <sheetData>
    <row r="1">
      <c r="A1" s="3" t="str">
        <v>TDS NOT APPLICABLE SUMMARY - TDS_REPORT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4" t="str">
        <v>Generated on: 24/6/2026, 12:28:20 pm | Powered by Vaswani Return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</row>
    <row r="4">
      <c r="A4" s="5" t="str">
        <v>Party Name</v>
      </c>
      <c r="B4" s="5" t="str">
        <v>PAN</v>
      </c>
      <c r="C4" s="5" t="str">
        <v>Section</v>
      </c>
      <c r="D4" s="5" t="str">
        <v>Expense Ledgers</v>
      </c>
      <c r="E4" s="6" t="str">
        <v>Taxable (Books)</v>
      </c>
      <c r="F4" s="6" t="str">
        <v>TDS Rate (%)</v>
      </c>
      <c r="G4" s="6" t="str">
        <v>Req. TDS (Books)</v>
      </c>
      <c r="H4" s="6" t="str">
        <v>Actual TDS (Books)</v>
      </c>
      <c r="I4" s="7" t="str">
        <v>Taxable (26Q)</v>
      </c>
      <c r="J4" s="7" t="str">
        <v>TDS (26Q)</v>
      </c>
      <c r="K4" s="8" t="str">
        <v>Taxable Variance</v>
      </c>
      <c r="L4" s="8" t="str">
        <v>TDS Variance</v>
      </c>
      <c r="M4" s="5" t="str">
        <v>Status</v>
      </c>
      <c r="N4" s="5" t="str">
        <v>Applicability Reason</v>
      </c>
    </row>
    <row r="5">
      <c r="A5" s="17" t="str">
        <v>GRAND TOTAL</v>
      </c>
      <c r="B5" s="17" t="str">
        <v/>
      </c>
      <c r="C5" s="17" t="str">
        <v/>
      </c>
      <c r="D5" s="17" t="str">
        <v/>
      </c>
      <c r="E5" s="18">
        <v>0</v>
      </c>
      <c r="F5" s="19" t="str">
        <v/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7" t="str">
        <v/>
      </c>
      <c r="N5" s="17" t="str">
        <v/>
      </c>
    </row>
  </sheetData>
  <mergeCells count="2">
    <mergeCell ref="A1:N1"/>
    <mergeCell ref="A2:N2"/>
  </mergeCells>
  <ignoredErrors>
    <ignoredError numberStoredAsText="1" sqref="A1:N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25.83203125" customWidth="1"/>
    <col min="5" max="5" width="18.83203125" customWidth="1"/>
    <col min="6" max="6" width="1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60.83203125" customWidth="1"/>
  </cols>
  <sheetData>
    <row r="1">
      <c r="A1" s="3" t="str">
        <v>PAN REQUIRED SUMMARY - TDS_REPORT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</row>
    <row r="2">
      <c r="A2" s="4" t="str">
        <v>Generated on: 24/6/2026, 12:28:20 pm | Powered by Vaswani Return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</row>
    <row r="4">
      <c r="A4" s="5" t="str">
        <v>Party Name</v>
      </c>
      <c r="B4" s="5" t="str">
        <v>PAN</v>
      </c>
      <c r="C4" s="5" t="str">
        <v>Section</v>
      </c>
      <c r="D4" s="5" t="str">
        <v>Expense Ledgers</v>
      </c>
      <c r="E4" s="6" t="str">
        <v>Taxable (Books)</v>
      </c>
      <c r="F4" s="6" t="str">
        <v>TDS Rate (%)</v>
      </c>
      <c r="G4" s="6" t="str">
        <v>Req. TDS (Books)</v>
      </c>
      <c r="H4" s="6" t="str">
        <v>Actual TDS (Books)</v>
      </c>
      <c r="I4" s="7" t="str">
        <v>Taxable (26Q)</v>
      </c>
      <c r="J4" s="7" t="str">
        <v>TDS (26Q)</v>
      </c>
      <c r="K4" s="8" t="str">
        <v>Taxable Variance</v>
      </c>
      <c r="L4" s="8" t="str">
        <v>TDS Variance</v>
      </c>
      <c r="M4" s="5" t="str">
        <v>Status</v>
      </c>
      <c r="N4" s="5" t="str">
        <v>Applicability Reason</v>
      </c>
    </row>
    <row r="5">
      <c r="A5" s="17" t="str">
        <v>GRAND TOTAL</v>
      </c>
      <c r="B5" s="17" t="str">
        <v/>
      </c>
      <c r="C5" s="17" t="str">
        <v/>
      </c>
      <c r="D5" s="17" t="str">
        <v/>
      </c>
      <c r="E5" s="18">
        <v>0</v>
      </c>
      <c r="F5" s="19" t="str">
        <v/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7" t="str">
        <v/>
      </c>
      <c r="N5" s="17" t="str">
        <v/>
      </c>
    </row>
  </sheetData>
  <mergeCells count="2">
    <mergeCell ref="A1:N1"/>
    <mergeCell ref="A2:N2"/>
  </mergeCells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TDS Applicable</vt:lpstr>
      <vt:lpstr>TDS Not Applicable</vt:lpstr>
      <vt:lpstr>PAN Required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