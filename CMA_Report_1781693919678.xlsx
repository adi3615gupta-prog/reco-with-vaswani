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payment" sheetId="2" state="visible" r:id="rId2"/>
    <sheet name="Depreciation" sheetId="3" state="visible" r:id="rId3"/>
    <sheet name="Projected P&amp;L" sheetId="4" state="visible" r:id="rId4"/>
    <sheet name="MPBF" sheetId="5" state="visible" r:id="rId5"/>
    <sheet name="Balance Sheet" sheetId="6" state="visible" r:id="rId6"/>
    <sheet name="Cash Flow" sheetId="7" state="visible" r:id="rId7"/>
    <sheet name="Drawing Power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,##0.00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0000"/>
      <sz val="9"/>
    </font>
    <font>
      <name val="Segoe U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16365C"/>
        <bgColor rgb="0016365C"/>
      </patternFill>
    </fill>
    <fill>
      <patternFill patternType="solid">
        <fgColor rgb="00E2EFDA"/>
        <bgColor rgb="00E2EFDA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  <border>
      <left/>
      <right/>
      <top style="medium">
        <color rgb="001F4E79"/>
      </top>
      <bottom/>
      <diagonal/>
    </border>
    <border>
      <left/>
      <right style="thin">
        <color rgb="00FFFFFF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thin">
        <color rgb="00FFFFFF"/>
      </right>
      <top style="medium">
        <color rgb="001F4E79"/>
      </top>
      <bottom style="medium">
        <color rgb="001F4E79"/>
      </bottom>
      <diagonal/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165" fontId="5" fillId="5" borderId="3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165" fontId="7" fillId="0" borderId="2" applyAlignment="1" pivotButton="0" quotePrefix="0" xfId="0">
      <alignment horizontal="right" vertical="center"/>
    </xf>
    <xf numFmtId="2" fontId="5" fillId="0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6" fillId="0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vs EBITDA Trajectory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'Projected P&amp;L'!A5</f>
            </strRef>
          </tx>
          <spPr>
            <a:ln>
              <a:prstDash val="solid"/>
            </a:ln>
          </spPr>
          <cat>
            <numRef>
              <f>'Projected P&amp;L'!$C$3:$G$3</f>
            </numRef>
          </cat>
          <val>
            <numRef>
              <f>'Projected P&amp;L'!$B$5:$G$5</f>
            </numRef>
          </val>
        </ser>
        <ser>
          <idx val="1"/>
          <order val="1"/>
          <tx>
            <strRef>
              <f>'Projected P&amp;L'!A8</f>
            </strRef>
          </tx>
          <spPr>
            <a:ln>
              <a:prstDash val="solid"/>
            </a:ln>
          </spPr>
          <cat>
            <numRef>
              <f>'Projected P&amp;L'!$C$3:$G$3</f>
            </numRef>
          </cat>
          <val>
            <numRef>
              <f>'Projected P&amp;L'!$B$8:$G$8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Debt Service Coverage Ratio (DSCR)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'Dashboard'!$B$3:$F$3</f>
            </numRef>
          </cat>
          <val>
            <numRef>
              <f>'Dashboard'!$B$8:$F$8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DSCR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PROJECT FINANCIAL ASSUMPTIONS</t>
        </is>
      </c>
    </row>
    <row r="2" ht="18" customHeight="1">
      <c r="A2" s="2" t="inlineStr">
        <is>
          <t>CMA &amp; Loan Sanction Sensitivity Baseline</t>
        </is>
      </c>
    </row>
    <row r="3">
      <c r="A3" s="3" t="inlineStr">
        <is>
          <t>Core Assumptions &amp; Growth Driver</t>
        </is>
      </c>
    </row>
    <row r="4" ht="24" customHeight="1">
      <c r="A4" s="4" t="inlineStr">
        <is>
          <t>Parameter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Capacity Utilization %</t>
        </is>
      </c>
      <c r="B5" s="6" t="n">
        <v>0.6</v>
      </c>
      <c r="C5" s="6" t="n">
        <v>0.7</v>
      </c>
      <c r="D5" s="6" t="n">
        <v>0.8</v>
      </c>
      <c r="E5" s="6" t="n">
        <v>0.9</v>
      </c>
      <c r="F5" s="6" t="n">
        <v>0.95</v>
      </c>
    </row>
    <row r="6"/>
    <row r="7" ht="20" customHeight="1">
      <c r="A7" s="5" t="inlineStr">
        <is>
          <t>Sales Growth % (YoY)</t>
        </is>
      </c>
      <c r="B7" s="6" t="n">
        <v>0.1</v>
      </c>
      <c r="C7" s="6" t="n">
        <v>0.15</v>
      </c>
      <c r="D7" s="6" t="n">
        <v>0.12</v>
      </c>
      <c r="E7" s="6" t="n">
        <v>0.1</v>
      </c>
      <c r="F7" s="6" t="n">
        <v>0.08</v>
      </c>
    </row>
    <row r="8"/>
    <row r="9" ht="20" customHeight="1">
      <c r="A9" s="5" t="inlineStr">
        <is>
          <t>Raw Material Cost % of Sales</t>
        </is>
      </c>
      <c r="B9" s="6" t="n">
        <v>0.55</v>
      </c>
      <c r="C9" s="6" t="n">
        <v>0.54</v>
      </c>
      <c r="D9" s="6" t="n">
        <v>0.535</v>
      </c>
      <c r="E9" s="6" t="n">
        <v>0.53</v>
      </c>
      <c r="F9" s="6" t="n">
        <v>0.53</v>
      </c>
    </row>
    <row r="10"/>
    <row r="11" ht="20" customHeight="1">
      <c r="A11" s="5" t="inlineStr">
        <is>
          <t>Other Operating Expenses % of Sales</t>
        </is>
      </c>
      <c r="B11" s="6" t="n">
        <v>0.12</v>
      </c>
      <c r="C11" s="6" t="n">
        <v>0.115</v>
      </c>
      <c r="D11" s="6" t="n">
        <v>0.11</v>
      </c>
      <c r="E11" s="6" t="n">
        <v>0.105</v>
      </c>
      <c r="F11" s="6" t="n">
        <v>0.105</v>
      </c>
    </row>
    <row r="12"/>
    <row r="13"/>
    <row r="14">
      <c r="A14" s="3" t="inlineStr">
        <is>
          <t>Loan Sanction Parameters</t>
        </is>
      </c>
    </row>
    <row r="15" ht="24" customHeight="1">
      <c r="A15" s="4" t="inlineStr">
        <is>
          <t>Sanction Parameter</t>
        </is>
      </c>
      <c r="B15" s="4" t="inlineStr">
        <is>
          <t>Assumed Baseline Value</t>
        </is>
      </c>
    </row>
    <row r="16" ht="20" customHeight="1">
      <c r="A16" s="5" t="inlineStr">
        <is>
          <t>Term Loan Sanctioned (₹)</t>
        </is>
      </c>
      <c r="B16" s="7" t="n">
        <v>15000000</v>
      </c>
    </row>
    <row r="17" ht="20" customHeight="1">
      <c r="A17" s="5" t="inlineStr">
        <is>
          <t>CC Limit Sanctioned (₹)</t>
        </is>
      </c>
      <c r="B17" s="7" t="n">
        <v>8000000</v>
      </c>
    </row>
    <row r="18" ht="20" customHeight="1">
      <c r="A18" s="5" t="inlineStr">
        <is>
          <t>Term Loan Interest Rate (per Annum)</t>
        </is>
      </c>
      <c r="B18" s="6" t="n">
        <v>0.105</v>
      </c>
    </row>
    <row r="19" ht="20" customHeight="1">
      <c r="A19" s="5" t="inlineStr">
        <is>
          <t>Cash Credit Interest Rate (per Annum)</t>
        </is>
      </c>
      <c r="B19" s="6" t="n">
        <v>0.115</v>
      </c>
    </row>
    <row r="20" ht="20" customHeight="1">
      <c r="A20" s="5" t="inlineStr">
        <is>
          <t>Repayment Term (Months)</t>
        </is>
      </c>
      <c r="B20" s="8" t="n">
        <v>60</v>
      </c>
    </row>
    <row r="21" ht="20" customHeight="1">
      <c r="A21" s="5" t="inlineStr">
        <is>
          <t>Moratorium Period (Months)</t>
        </is>
      </c>
      <c r="B21" s="8" t="n">
        <v>6</v>
      </c>
    </row>
    <row r="22" ht="20" customHeight="1">
      <c r="A22" s="5" t="inlineStr">
        <is>
          <t>Corporate Income Tax Rate</t>
        </is>
      </c>
      <c r="B22" s="6" t="n">
        <v>0.2517</v>
      </c>
    </row>
    <row r="23" ht="20" customHeight="1">
      <c r="A23" s="5" t="inlineStr">
        <is>
          <t>CC Stock Margin %</t>
        </is>
      </c>
      <c r="B23" s="6" t="n">
        <v>0.25</v>
      </c>
    </row>
    <row r="24" ht="20" customHeight="1">
      <c r="A24" s="5" t="inlineStr">
        <is>
          <t>CC Debtors Margin %</t>
        </is>
      </c>
      <c r="B24" s="6" t="n">
        <v>0.4</v>
      </c>
    </row>
    <row r="25"/>
    <row r="26"/>
    <row r="27">
      <c r="A27" s="3" t="inlineStr">
        <is>
          <t>Fixed Asset Blocks &amp; Depreciation Rates (WDV)</t>
        </is>
      </c>
    </row>
    <row r="28" ht="24" customHeight="1">
      <c r="A28" s="4" t="inlineStr">
        <is>
          <t>Asset Block Class</t>
        </is>
      </c>
      <c r="B28" s="4" t="inlineStr">
        <is>
          <t>Starting Net Block Value (₹)</t>
        </is>
      </c>
      <c r="C28" s="4" t="inlineStr">
        <is>
          <t>Depreciation Rate (WDV)</t>
        </is>
      </c>
    </row>
    <row r="29" ht="20" customHeight="1">
      <c r="A29" s="9" t="inlineStr">
        <is>
          <t>Building Block</t>
        </is>
      </c>
      <c r="B29" s="7" t="n">
        <v>3941803.2</v>
      </c>
      <c r="C29" s="6" t="n">
        <v>0.1</v>
      </c>
    </row>
    <row r="30" ht="20" customHeight="1">
      <c r="A30" s="9" t="inlineStr">
        <is>
          <t>Plant &amp; Machinery Block</t>
        </is>
      </c>
      <c r="B30" s="7" t="n">
        <v>4927254</v>
      </c>
      <c r="C30" s="6" t="n">
        <v>0.15</v>
      </c>
    </row>
    <row r="31" ht="20" customHeight="1">
      <c r="A31" s="9" t="inlineStr">
        <is>
          <t>Computers &amp; IT Block</t>
        </is>
      </c>
      <c r="B31" s="7" t="n">
        <v>492725.4</v>
      </c>
      <c r="C31" s="6" t="n">
        <v>0.4</v>
      </c>
    </row>
    <row r="32" ht="20" customHeight="1">
      <c r="A32" s="9" t="inlineStr">
        <is>
          <t>Office Equipment Block</t>
        </is>
      </c>
      <c r="B32" s="7" t="n">
        <v>492725.4</v>
      </c>
      <c r="C32" s="6" t="n">
        <v>0.1</v>
      </c>
    </row>
    <row r="33"/>
    <row r="34"/>
    <row r="35">
      <c r="A35" s="3" t="inlineStr">
        <is>
          <t>Preceding Year (Base) Financials</t>
        </is>
      </c>
    </row>
    <row r="36" ht="20" customHeight="1">
      <c r="A36" s="9" t="inlineStr">
        <is>
          <t>Base Year Revenue (₹)</t>
        </is>
      </c>
      <c r="B36" s="7" t="n">
        <v>12894723</v>
      </c>
    </row>
    <row r="37">
      <c r="A37" s="9" t="inlineStr">
        <is>
          <t>Initial Share Capital (₹)</t>
        </is>
      </c>
      <c r="B37" s="7" t="n">
        <v>11860499</v>
      </c>
    </row>
    <row r="38">
      <c r="A38" s="9" t="inlineStr">
        <is>
          <t>Initial Cash Balance (₹)</t>
        </is>
      </c>
      <c r="B38" s="7" t="n">
        <v>193420.845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9" customWidth="1" min="3" max="3"/>
    <col width="22" customWidth="1" min="4" max="4"/>
    <col width="13" customWidth="1" min="5" max="5"/>
    <col width="18" customWidth="1" min="6" max="6"/>
    <col width="10" customWidth="1" min="7" max="7"/>
    <col width="26" customWidth="1" min="8" max="8"/>
    <col width="18" customWidth="1" min="9" max="9"/>
    <col width="15" customWidth="1" min="10" max="10"/>
    <col width="16" customWidth="1" min="11" max="11"/>
    <col width="21" customWidth="1" min="12" max="12"/>
    <col width="18" customWidth="1" min="13" max="13"/>
  </cols>
  <sheetData>
    <row r="1" ht="28" customHeight="1">
      <c r="A1" s="1" t="inlineStr">
        <is>
          <t>TERM LOAN REPAYMENT SCHEDULE</t>
        </is>
      </c>
    </row>
    <row r="2" ht="18" customHeight="1">
      <c r="A2" s="2" t="inlineStr">
        <is>
          <t>Monthly Amortization and Yearly Aggregations</t>
        </is>
      </c>
    </row>
    <row r="3">
      <c r="A3" s="3" t="inlineStr">
        <is>
          <t>Monthly Loan Amortization Schedule</t>
        </is>
      </c>
    </row>
    <row r="4" ht="24" customHeight="1">
      <c r="A4" s="4" t="inlineStr">
        <is>
          <t>Month</t>
        </is>
      </c>
      <c r="B4" s="4" t="inlineStr">
        <is>
          <t>Opening Balance</t>
        </is>
      </c>
      <c r="C4" s="4" t="inlineStr">
        <is>
          <t>Interest Accrued</t>
        </is>
      </c>
      <c r="D4" s="4" t="inlineStr">
        <is>
          <t>Principal Repayment</t>
        </is>
      </c>
      <c r="E4" s="4" t="inlineStr">
        <is>
          <t>Total EMI</t>
        </is>
      </c>
      <c r="F4" s="4" t="inlineStr">
        <is>
          <t>Closing Balance</t>
        </is>
      </c>
      <c r="H4" s="3" t="inlineStr">
        <is>
          <t>Yearly Summary Schedule</t>
        </is>
      </c>
    </row>
    <row r="5" ht="24" customHeight="1">
      <c r="A5" s="10" t="n">
        <v>1</v>
      </c>
      <c r="B5" s="7">
        <f>Assumptions!$B$16</f>
        <v/>
      </c>
      <c r="C5" s="7">
        <f>B5*(Assumptions!$B$18/12)</f>
        <v/>
      </c>
      <c r="D5" s="7">
        <f>IF(A5&lt;=Assumptions!$B$21,0,Assumptions!$B$16/(Assumptions!$B$20-Assumptions!$B$21))</f>
        <v/>
      </c>
      <c r="E5" s="7">
        <f>C5+D5</f>
        <v/>
      </c>
      <c r="F5" s="7">
        <f>B5-D5</f>
        <v/>
      </c>
      <c r="H5" s="11" t="inlineStr">
        <is>
          <t>Year</t>
        </is>
      </c>
      <c r="I5" s="11" t="inlineStr">
        <is>
          <t>Opening Balance</t>
        </is>
      </c>
      <c r="J5" s="11" t="inlineStr">
        <is>
          <t>Interest Sum</t>
        </is>
      </c>
      <c r="K5" s="11" t="inlineStr">
        <is>
          <t>Principal Sum</t>
        </is>
      </c>
      <c r="L5" s="11" t="inlineStr">
        <is>
          <t>Total Debt Service</t>
        </is>
      </c>
      <c r="M5" s="11" t="inlineStr">
        <is>
          <t>Closing Balance</t>
        </is>
      </c>
    </row>
    <row r="6" ht="20" customHeight="1">
      <c r="A6" s="10" t="n">
        <v>2</v>
      </c>
      <c r="B6" s="7">
        <f>F5</f>
        <v/>
      </c>
      <c r="C6" s="7">
        <f>B6*(Assumptions!$B$18/12)</f>
        <v/>
      </c>
      <c r="D6" s="7">
        <f>IF(A6&lt;=Assumptions!$B$21,0,Assumptions!$B$16/(Assumptions!$B$20-Assumptions!$B$21))</f>
        <v/>
      </c>
      <c r="E6" s="7">
        <f>C6+D6</f>
        <v/>
      </c>
      <c r="F6" s="7">
        <f>B6-D6</f>
        <v/>
      </c>
      <c r="H6" s="12" t="n">
        <v>1</v>
      </c>
      <c r="I6" s="7">
        <f>B5</f>
        <v/>
      </c>
      <c r="J6" s="7">
        <f>SUM(C5:C16)</f>
        <v/>
      </c>
      <c r="K6" s="7">
        <f>SUM(D5:D16)</f>
        <v/>
      </c>
      <c r="L6" s="13">
        <f>J6+K6</f>
        <v/>
      </c>
      <c r="M6" s="7">
        <f>F16</f>
        <v/>
      </c>
    </row>
    <row r="7" ht="20" customHeight="1">
      <c r="A7" s="10" t="n">
        <v>3</v>
      </c>
      <c r="B7" s="7">
        <f>F6</f>
        <v/>
      </c>
      <c r="C7" s="7">
        <f>B7*(Assumptions!$B$18/12)</f>
        <v/>
      </c>
      <c r="D7" s="7">
        <f>IF(A7&lt;=Assumptions!$B$21,0,Assumptions!$B$16/(Assumptions!$B$20-Assumptions!$B$21))</f>
        <v/>
      </c>
      <c r="E7" s="7">
        <f>C7+D7</f>
        <v/>
      </c>
      <c r="F7" s="7">
        <f>B7-D7</f>
        <v/>
      </c>
      <c r="H7" s="12" t="n">
        <v>2</v>
      </c>
      <c r="I7" s="7">
        <f>B17</f>
        <v/>
      </c>
      <c r="J7" s="7">
        <f>SUM(C17:C28)</f>
        <v/>
      </c>
      <c r="K7" s="7">
        <f>SUM(D17:D28)</f>
        <v/>
      </c>
      <c r="L7" s="13">
        <f>J7+K7</f>
        <v/>
      </c>
      <c r="M7" s="7">
        <f>F28</f>
        <v/>
      </c>
    </row>
    <row r="8" ht="20" customHeight="1">
      <c r="A8" s="10" t="n">
        <v>4</v>
      </c>
      <c r="B8" s="7">
        <f>F7</f>
        <v/>
      </c>
      <c r="C8" s="7">
        <f>B8*(Assumptions!$B$18/12)</f>
        <v/>
      </c>
      <c r="D8" s="7">
        <f>IF(A8&lt;=Assumptions!$B$21,0,Assumptions!$B$16/(Assumptions!$B$20-Assumptions!$B$21))</f>
        <v/>
      </c>
      <c r="E8" s="7">
        <f>C8+D8</f>
        <v/>
      </c>
      <c r="F8" s="7">
        <f>B8-D8</f>
        <v/>
      </c>
      <c r="H8" s="12" t="n">
        <v>3</v>
      </c>
      <c r="I8" s="7">
        <f>B29</f>
        <v/>
      </c>
      <c r="J8" s="7">
        <f>SUM(C29:C40)</f>
        <v/>
      </c>
      <c r="K8" s="7">
        <f>SUM(D29:D40)</f>
        <v/>
      </c>
      <c r="L8" s="13">
        <f>J8+K8</f>
        <v/>
      </c>
      <c r="M8" s="7">
        <f>F40</f>
        <v/>
      </c>
    </row>
    <row r="9" ht="20" customHeight="1">
      <c r="A9" s="10" t="n">
        <v>5</v>
      </c>
      <c r="B9" s="7">
        <f>F8</f>
        <v/>
      </c>
      <c r="C9" s="7">
        <f>B9*(Assumptions!$B$18/12)</f>
        <v/>
      </c>
      <c r="D9" s="7">
        <f>IF(A9&lt;=Assumptions!$B$21,0,Assumptions!$B$16/(Assumptions!$B$20-Assumptions!$B$21))</f>
        <v/>
      </c>
      <c r="E9" s="7">
        <f>C9+D9</f>
        <v/>
      </c>
      <c r="F9" s="7">
        <f>B9-D9</f>
        <v/>
      </c>
      <c r="H9" s="12" t="n">
        <v>4</v>
      </c>
      <c r="I9" s="7">
        <f>B41</f>
        <v/>
      </c>
      <c r="J9" s="7">
        <f>SUM(C41:C52)</f>
        <v/>
      </c>
      <c r="K9" s="7">
        <f>SUM(D41:D52)</f>
        <v/>
      </c>
      <c r="L9" s="13">
        <f>J9+K9</f>
        <v/>
      </c>
      <c r="M9" s="7">
        <f>F52</f>
        <v/>
      </c>
    </row>
    <row r="10" ht="20" customHeight="1">
      <c r="A10" s="10" t="n">
        <v>6</v>
      </c>
      <c r="B10" s="7">
        <f>F9</f>
        <v/>
      </c>
      <c r="C10" s="7">
        <f>B10*(Assumptions!$B$18/12)</f>
        <v/>
      </c>
      <c r="D10" s="7">
        <f>IF(A10&lt;=Assumptions!$B$21,0,Assumptions!$B$16/(Assumptions!$B$20-Assumptions!$B$21))</f>
        <v/>
      </c>
      <c r="E10" s="7">
        <f>C10+D10</f>
        <v/>
      </c>
      <c r="F10" s="7">
        <f>B10-D10</f>
        <v/>
      </c>
      <c r="H10" s="12" t="n">
        <v>5</v>
      </c>
      <c r="I10" s="7">
        <f>B53</f>
        <v/>
      </c>
      <c r="J10" s="7">
        <f>SUM(C53:C64)</f>
        <v/>
      </c>
      <c r="K10" s="7">
        <f>SUM(D53:D64)</f>
        <v/>
      </c>
      <c r="L10" s="13">
        <f>J10+K10</f>
        <v/>
      </c>
      <c r="M10" s="7">
        <f>F64</f>
        <v/>
      </c>
    </row>
    <row r="11" ht="18" customHeight="1">
      <c r="A11" s="10" t="n">
        <v>7</v>
      </c>
      <c r="B11" s="7">
        <f>F10</f>
        <v/>
      </c>
      <c r="C11" s="7">
        <f>B11*(Assumptions!$B$18/12)</f>
        <v/>
      </c>
      <c r="D11" s="7">
        <f>IF(A11&lt;=Assumptions!$B$21,0,Assumptions!$B$16/(Assumptions!$B$20-Assumptions!$B$21))</f>
        <v/>
      </c>
      <c r="E11" s="7">
        <f>C11+D11</f>
        <v/>
      </c>
      <c r="F11" s="7">
        <f>B11-D11</f>
        <v/>
      </c>
    </row>
    <row r="12" ht="18" customHeight="1">
      <c r="A12" s="10" t="n">
        <v>8</v>
      </c>
      <c r="B12" s="7">
        <f>F11</f>
        <v/>
      </c>
      <c r="C12" s="7">
        <f>B12*(Assumptions!$B$18/12)</f>
        <v/>
      </c>
      <c r="D12" s="7">
        <f>IF(A12&lt;=Assumptions!$B$21,0,Assumptions!$B$16/(Assumptions!$B$20-Assumptions!$B$21))</f>
        <v/>
      </c>
      <c r="E12" s="7">
        <f>C12+D12</f>
        <v/>
      </c>
      <c r="F12" s="7">
        <f>B12-D12</f>
        <v/>
      </c>
    </row>
    <row r="13" ht="18" customHeight="1">
      <c r="A13" s="10" t="n">
        <v>9</v>
      </c>
      <c r="B13" s="7">
        <f>F12</f>
        <v/>
      </c>
      <c r="C13" s="7">
        <f>B13*(Assumptions!$B$18/12)</f>
        <v/>
      </c>
      <c r="D13" s="7">
        <f>IF(A13&lt;=Assumptions!$B$21,0,Assumptions!$B$16/(Assumptions!$B$20-Assumptions!$B$21))</f>
        <v/>
      </c>
      <c r="E13" s="7">
        <f>C13+D13</f>
        <v/>
      </c>
      <c r="F13" s="7">
        <f>B13-D13</f>
        <v/>
      </c>
    </row>
    <row r="14" ht="18" customHeight="1">
      <c r="A14" s="10" t="n">
        <v>10</v>
      </c>
      <c r="B14" s="7">
        <f>F13</f>
        <v/>
      </c>
      <c r="C14" s="7">
        <f>B14*(Assumptions!$B$18/12)</f>
        <v/>
      </c>
      <c r="D14" s="7">
        <f>IF(A14&lt;=Assumptions!$B$21,0,Assumptions!$B$16/(Assumptions!$B$20-Assumptions!$B$21))</f>
        <v/>
      </c>
      <c r="E14" s="7">
        <f>C14+D14</f>
        <v/>
      </c>
      <c r="F14" s="7">
        <f>B14-D14</f>
        <v/>
      </c>
    </row>
    <row r="15" ht="18" customHeight="1">
      <c r="A15" s="10" t="n">
        <v>11</v>
      </c>
      <c r="B15" s="7">
        <f>F14</f>
        <v/>
      </c>
      <c r="C15" s="7">
        <f>B15*(Assumptions!$B$18/12)</f>
        <v/>
      </c>
      <c r="D15" s="7">
        <f>IF(A15&lt;=Assumptions!$B$21,0,Assumptions!$B$16/(Assumptions!$B$20-Assumptions!$B$21))</f>
        <v/>
      </c>
      <c r="E15" s="7">
        <f>C15+D15</f>
        <v/>
      </c>
      <c r="F15" s="7">
        <f>B15-D15</f>
        <v/>
      </c>
    </row>
    <row r="16" ht="18" customHeight="1">
      <c r="A16" s="10" t="n">
        <v>12</v>
      </c>
      <c r="B16" s="7">
        <f>F15</f>
        <v/>
      </c>
      <c r="C16" s="7">
        <f>B16*(Assumptions!$B$18/12)</f>
        <v/>
      </c>
      <c r="D16" s="7">
        <f>IF(A16&lt;=Assumptions!$B$21,0,Assumptions!$B$16/(Assumptions!$B$20-Assumptions!$B$21))</f>
        <v/>
      </c>
      <c r="E16" s="7">
        <f>C16+D16</f>
        <v/>
      </c>
      <c r="F16" s="7">
        <f>B16-D16</f>
        <v/>
      </c>
    </row>
    <row r="17" ht="18" customHeight="1">
      <c r="A17" s="10" t="n">
        <v>13</v>
      </c>
      <c r="B17" s="7">
        <f>F16</f>
        <v/>
      </c>
      <c r="C17" s="7">
        <f>B17*(Assumptions!$B$18/12)</f>
        <v/>
      </c>
      <c r="D17" s="7">
        <f>IF(A17&lt;=Assumptions!$B$21,0,Assumptions!$B$16/(Assumptions!$B$20-Assumptions!$B$21))</f>
        <v/>
      </c>
      <c r="E17" s="7">
        <f>C17+D17</f>
        <v/>
      </c>
      <c r="F17" s="7">
        <f>B17-D17</f>
        <v/>
      </c>
    </row>
    <row r="18" ht="18" customHeight="1">
      <c r="A18" s="10" t="n">
        <v>14</v>
      </c>
      <c r="B18" s="7">
        <f>F17</f>
        <v/>
      </c>
      <c r="C18" s="7">
        <f>B18*(Assumptions!$B$18/12)</f>
        <v/>
      </c>
      <c r="D18" s="7">
        <f>IF(A18&lt;=Assumptions!$B$21,0,Assumptions!$B$16/(Assumptions!$B$20-Assumptions!$B$21))</f>
        <v/>
      </c>
      <c r="E18" s="7">
        <f>C18+D18</f>
        <v/>
      </c>
      <c r="F18" s="7">
        <f>B18-D18</f>
        <v/>
      </c>
    </row>
    <row r="19" ht="18" customHeight="1">
      <c r="A19" s="10" t="n">
        <v>15</v>
      </c>
      <c r="B19" s="7">
        <f>F18</f>
        <v/>
      </c>
      <c r="C19" s="7">
        <f>B19*(Assumptions!$B$18/12)</f>
        <v/>
      </c>
      <c r="D19" s="7">
        <f>IF(A19&lt;=Assumptions!$B$21,0,Assumptions!$B$16/(Assumptions!$B$20-Assumptions!$B$21))</f>
        <v/>
      </c>
      <c r="E19" s="7">
        <f>C19+D19</f>
        <v/>
      </c>
      <c r="F19" s="7">
        <f>B19-D19</f>
        <v/>
      </c>
    </row>
    <row r="20" ht="18" customHeight="1">
      <c r="A20" s="10" t="n">
        <v>16</v>
      </c>
      <c r="B20" s="7">
        <f>F19</f>
        <v/>
      </c>
      <c r="C20" s="7">
        <f>B20*(Assumptions!$B$18/12)</f>
        <v/>
      </c>
      <c r="D20" s="7">
        <f>IF(A20&lt;=Assumptions!$B$21,0,Assumptions!$B$16/(Assumptions!$B$20-Assumptions!$B$21))</f>
        <v/>
      </c>
      <c r="E20" s="7">
        <f>C20+D20</f>
        <v/>
      </c>
      <c r="F20" s="7">
        <f>B20-D20</f>
        <v/>
      </c>
    </row>
    <row r="21" ht="18" customHeight="1">
      <c r="A21" s="10" t="n">
        <v>17</v>
      </c>
      <c r="B21" s="7">
        <f>F20</f>
        <v/>
      </c>
      <c r="C21" s="7">
        <f>B21*(Assumptions!$B$18/12)</f>
        <v/>
      </c>
      <c r="D21" s="7">
        <f>IF(A21&lt;=Assumptions!$B$21,0,Assumptions!$B$16/(Assumptions!$B$20-Assumptions!$B$21))</f>
        <v/>
      </c>
      <c r="E21" s="7">
        <f>C21+D21</f>
        <v/>
      </c>
      <c r="F21" s="7">
        <f>B21-D21</f>
        <v/>
      </c>
    </row>
    <row r="22" ht="18" customHeight="1">
      <c r="A22" s="10" t="n">
        <v>18</v>
      </c>
      <c r="B22" s="7">
        <f>F21</f>
        <v/>
      </c>
      <c r="C22" s="7">
        <f>B22*(Assumptions!$B$18/12)</f>
        <v/>
      </c>
      <c r="D22" s="7">
        <f>IF(A22&lt;=Assumptions!$B$21,0,Assumptions!$B$16/(Assumptions!$B$20-Assumptions!$B$21))</f>
        <v/>
      </c>
      <c r="E22" s="7">
        <f>C22+D22</f>
        <v/>
      </c>
      <c r="F22" s="7">
        <f>B22-D22</f>
        <v/>
      </c>
    </row>
    <row r="23" ht="18" customHeight="1">
      <c r="A23" s="10" t="n">
        <v>19</v>
      </c>
      <c r="B23" s="7">
        <f>F22</f>
        <v/>
      </c>
      <c r="C23" s="7">
        <f>B23*(Assumptions!$B$18/12)</f>
        <v/>
      </c>
      <c r="D23" s="7">
        <f>IF(A23&lt;=Assumptions!$B$21,0,Assumptions!$B$16/(Assumptions!$B$20-Assumptions!$B$21))</f>
        <v/>
      </c>
      <c r="E23" s="7">
        <f>C23+D23</f>
        <v/>
      </c>
      <c r="F23" s="7">
        <f>B23-D23</f>
        <v/>
      </c>
    </row>
    <row r="24" ht="18" customHeight="1">
      <c r="A24" s="10" t="n">
        <v>20</v>
      </c>
      <c r="B24" s="7">
        <f>F23</f>
        <v/>
      </c>
      <c r="C24" s="7">
        <f>B24*(Assumptions!$B$18/12)</f>
        <v/>
      </c>
      <c r="D24" s="7">
        <f>IF(A24&lt;=Assumptions!$B$21,0,Assumptions!$B$16/(Assumptions!$B$20-Assumptions!$B$21))</f>
        <v/>
      </c>
      <c r="E24" s="7">
        <f>C24+D24</f>
        <v/>
      </c>
      <c r="F24" s="7">
        <f>B24-D24</f>
        <v/>
      </c>
    </row>
    <row r="25" ht="18" customHeight="1">
      <c r="A25" s="10" t="n">
        <v>21</v>
      </c>
      <c r="B25" s="7">
        <f>F24</f>
        <v/>
      </c>
      <c r="C25" s="7">
        <f>B25*(Assumptions!$B$18/12)</f>
        <v/>
      </c>
      <c r="D25" s="7">
        <f>IF(A25&lt;=Assumptions!$B$21,0,Assumptions!$B$16/(Assumptions!$B$20-Assumptions!$B$21))</f>
        <v/>
      </c>
      <c r="E25" s="7">
        <f>C25+D25</f>
        <v/>
      </c>
      <c r="F25" s="7">
        <f>B25-D25</f>
        <v/>
      </c>
    </row>
    <row r="26" ht="18" customHeight="1">
      <c r="A26" s="10" t="n">
        <v>22</v>
      </c>
      <c r="B26" s="7">
        <f>F25</f>
        <v/>
      </c>
      <c r="C26" s="7">
        <f>B26*(Assumptions!$B$18/12)</f>
        <v/>
      </c>
      <c r="D26" s="7">
        <f>IF(A26&lt;=Assumptions!$B$21,0,Assumptions!$B$16/(Assumptions!$B$20-Assumptions!$B$21))</f>
        <v/>
      </c>
      <c r="E26" s="7">
        <f>C26+D26</f>
        <v/>
      </c>
      <c r="F26" s="7">
        <f>B26-D26</f>
        <v/>
      </c>
    </row>
    <row r="27" ht="18" customHeight="1">
      <c r="A27" s="10" t="n">
        <v>23</v>
      </c>
      <c r="B27" s="7">
        <f>F26</f>
        <v/>
      </c>
      <c r="C27" s="7">
        <f>B27*(Assumptions!$B$18/12)</f>
        <v/>
      </c>
      <c r="D27" s="7">
        <f>IF(A27&lt;=Assumptions!$B$21,0,Assumptions!$B$16/(Assumptions!$B$20-Assumptions!$B$21))</f>
        <v/>
      </c>
      <c r="E27" s="7">
        <f>C27+D27</f>
        <v/>
      </c>
      <c r="F27" s="7">
        <f>B27-D27</f>
        <v/>
      </c>
    </row>
    <row r="28" ht="18" customHeight="1">
      <c r="A28" s="10" t="n">
        <v>24</v>
      </c>
      <c r="B28" s="7">
        <f>F27</f>
        <v/>
      </c>
      <c r="C28" s="7">
        <f>B28*(Assumptions!$B$18/12)</f>
        <v/>
      </c>
      <c r="D28" s="7">
        <f>IF(A28&lt;=Assumptions!$B$21,0,Assumptions!$B$16/(Assumptions!$B$20-Assumptions!$B$21))</f>
        <v/>
      </c>
      <c r="E28" s="7">
        <f>C28+D28</f>
        <v/>
      </c>
      <c r="F28" s="7">
        <f>B28-D28</f>
        <v/>
      </c>
    </row>
    <row r="29" ht="18" customHeight="1">
      <c r="A29" s="10" t="n">
        <v>25</v>
      </c>
      <c r="B29" s="7">
        <f>F28</f>
        <v/>
      </c>
      <c r="C29" s="7">
        <f>B29*(Assumptions!$B$18/12)</f>
        <v/>
      </c>
      <c r="D29" s="7">
        <f>IF(A29&lt;=Assumptions!$B$21,0,Assumptions!$B$16/(Assumptions!$B$20-Assumptions!$B$21))</f>
        <v/>
      </c>
      <c r="E29" s="7">
        <f>C29+D29</f>
        <v/>
      </c>
      <c r="F29" s="7">
        <f>B29-D29</f>
        <v/>
      </c>
    </row>
    <row r="30" ht="18" customHeight="1">
      <c r="A30" s="10" t="n">
        <v>26</v>
      </c>
      <c r="B30" s="7">
        <f>F29</f>
        <v/>
      </c>
      <c r="C30" s="7">
        <f>B30*(Assumptions!$B$18/12)</f>
        <v/>
      </c>
      <c r="D30" s="7">
        <f>IF(A30&lt;=Assumptions!$B$21,0,Assumptions!$B$16/(Assumptions!$B$20-Assumptions!$B$21))</f>
        <v/>
      </c>
      <c r="E30" s="7">
        <f>C30+D30</f>
        <v/>
      </c>
      <c r="F30" s="7">
        <f>B30-D30</f>
        <v/>
      </c>
    </row>
    <row r="31" ht="18" customHeight="1">
      <c r="A31" s="10" t="n">
        <v>27</v>
      </c>
      <c r="B31" s="7">
        <f>F30</f>
        <v/>
      </c>
      <c r="C31" s="7">
        <f>B31*(Assumptions!$B$18/12)</f>
        <v/>
      </c>
      <c r="D31" s="7">
        <f>IF(A31&lt;=Assumptions!$B$21,0,Assumptions!$B$16/(Assumptions!$B$20-Assumptions!$B$21))</f>
        <v/>
      </c>
      <c r="E31" s="7">
        <f>C31+D31</f>
        <v/>
      </c>
      <c r="F31" s="7">
        <f>B31-D31</f>
        <v/>
      </c>
    </row>
    <row r="32" ht="18" customHeight="1">
      <c r="A32" s="10" t="n">
        <v>28</v>
      </c>
      <c r="B32" s="7">
        <f>F31</f>
        <v/>
      </c>
      <c r="C32" s="7">
        <f>B32*(Assumptions!$B$18/12)</f>
        <v/>
      </c>
      <c r="D32" s="7">
        <f>IF(A32&lt;=Assumptions!$B$21,0,Assumptions!$B$16/(Assumptions!$B$20-Assumptions!$B$21))</f>
        <v/>
      </c>
      <c r="E32" s="7">
        <f>C32+D32</f>
        <v/>
      </c>
      <c r="F32" s="7">
        <f>B32-D32</f>
        <v/>
      </c>
    </row>
    <row r="33" ht="18" customHeight="1">
      <c r="A33" s="10" t="n">
        <v>29</v>
      </c>
      <c r="B33" s="7">
        <f>F32</f>
        <v/>
      </c>
      <c r="C33" s="7">
        <f>B33*(Assumptions!$B$18/12)</f>
        <v/>
      </c>
      <c r="D33" s="7">
        <f>IF(A33&lt;=Assumptions!$B$21,0,Assumptions!$B$16/(Assumptions!$B$20-Assumptions!$B$21))</f>
        <v/>
      </c>
      <c r="E33" s="7">
        <f>C33+D33</f>
        <v/>
      </c>
      <c r="F33" s="7">
        <f>B33-D33</f>
        <v/>
      </c>
    </row>
    <row r="34" ht="18" customHeight="1">
      <c r="A34" s="10" t="n">
        <v>30</v>
      </c>
      <c r="B34" s="7">
        <f>F33</f>
        <v/>
      </c>
      <c r="C34" s="7">
        <f>B34*(Assumptions!$B$18/12)</f>
        <v/>
      </c>
      <c r="D34" s="7">
        <f>IF(A34&lt;=Assumptions!$B$21,0,Assumptions!$B$16/(Assumptions!$B$20-Assumptions!$B$21))</f>
        <v/>
      </c>
      <c r="E34" s="7">
        <f>C34+D34</f>
        <v/>
      </c>
      <c r="F34" s="7">
        <f>B34-D34</f>
        <v/>
      </c>
    </row>
    <row r="35" ht="18" customHeight="1">
      <c r="A35" s="10" t="n">
        <v>31</v>
      </c>
      <c r="B35" s="7">
        <f>F34</f>
        <v/>
      </c>
      <c r="C35" s="7">
        <f>B35*(Assumptions!$B$18/12)</f>
        <v/>
      </c>
      <c r="D35" s="7">
        <f>IF(A35&lt;=Assumptions!$B$21,0,Assumptions!$B$16/(Assumptions!$B$20-Assumptions!$B$21))</f>
        <v/>
      </c>
      <c r="E35" s="7">
        <f>C35+D35</f>
        <v/>
      </c>
      <c r="F35" s="7">
        <f>B35-D35</f>
        <v/>
      </c>
    </row>
    <row r="36" ht="18" customHeight="1">
      <c r="A36" s="10" t="n">
        <v>32</v>
      </c>
      <c r="B36" s="7">
        <f>F35</f>
        <v/>
      </c>
      <c r="C36" s="7">
        <f>B36*(Assumptions!$B$18/12)</f>
        <v/>
      </c>
      <c r="D36" s="7">
        <f>IF(A36&lt;=Assumptions!$B$21,0,Assumptions!$B$16/(Assumptions!$B$20-Assumptions!$B$21))</f>
        <v/>
      </c>
      <c r="E36" s="7">
        <f>C36+D36</f>
        <v/>
      </c>
      <c r="F36" s="7">
        <f>B36-D36</f>
        <v/>
      </c>
    </row>
    <row r="37" ht="18" customHeight="1">
      <c r="A37" s="10" t="n">
        <v>33</v>
      </c>
      <c r="B37" s="7">
        <f>F36</f>
        <v/>
      </c>
      <c r="C37" s="7">
        <f>B37*(Assumptions!$B$18/12)</f>
        <v/>
      </c>
      <c r="D37" s="7">
        <f>IF(A37&lt;=Assumptions!$B$21,0,Assumptions!$B$16/(Assumptions!$B$20-Assumptions!$B$21))</f>
        <v/>
      </c>
      <c r="E37" s="7">
        <f>C37+D37</f>
        <v/>
      </c>
      <c r="F37" s="7">
        <f>B37-D37</f>
        <v/>
      </c>
    </row>
    <row r="38" ht="18" customHeight="1">
      <c r="A38" s="10" t="n">
        <v>34</v>
      </c>
      <c r="B38" s="7">
        <f>F37</f>
        <v/>
      </c>
      <c r="C38" s="7">
        <f>B38*(Assumptions!$B$18/12)</f>
        <v/>
      </c>
      <c r="D38" s="7">
        <f>IF(A38&lt;=Assumptions!$B$21,0,Assumptions!$B$16/(Assumptions!$B$20-Assumptions!$B$21))</f>
        <v/>
      </c>
      <c r="E38" s="7">
        <f>C38+D38</f>
        <v/>
      </c>
      <c r="F38" s="7">
        <f>B38-D38</f>
        <v/>
      </c>
    </row>
    <row r="39" ht="18" customHeight="1">
      <c r="A39" s="10" t="n">
        <v>35</v>
      </c>
      <c r="B39" s="7">
        <f>F38</f>
        <v/>
      </c>
      <c r="C39" s="7">
        <f>B39*(Assumptions!$B$18/12)</f>
        <v/>
      </c>
      <c r="D39" s="7">
        <f>IF(A39&lt;=Assumptions!$B$21,0,Assumptions!$B$16/(Assumptions!$B$20-Assumptions!$B$21))</f>
        <v/>
      </c>
      <c r="E39" s="7">
        <f>C39+D39</f>
        <v/>
      </c>
      <c r="F39" s="7">
        <f>B39-D39</f>
        <v/>
      </c>
    </row>
    <row r="40" ht="18" customHeight="1">
      <c r="A40" s="10" t="n">
        <v>36</v>
      </c>
      <c r="B40" s="7">
        <f>F39</f>
        <v/>
      </c>
      <c r="C40" s="7">
        <f>B40*(Assumptions!$B$18/12)</f>
        <v/>
      </c>
      <c r="D40" s="7">
        <f>IF(A40&lt;=Assumptions!$B$21,0,Assumptions!$B$16/(Assumptions!$B$20-Assumptions!$B$21))</f>
        <v/>
      </c>
      <c r="E40" s="7">
        <f>C40+D40</f>
        <v/>
      </c>
      <c r="F40" s="7">
        <f>B40-D40</f>
        <v/>
      </c>
    </row>
    <row r="41" ht="18" customHeight="1">
      <c r="A41" s="10" t="n">
        <v>37</v>
      </c>
      <c r="B41" s="7">
        <f>F40</f>
        <v/>
      </c>
      <c r="C41" s="7">
        <f>B41*(Assumptions!$B$18/12)</f>
        <v/>
      </c>
      <c r="D41" s="7">
        <f>IF(A41&lt;=Assumptions!$B$21,0,Assumptions!$B$16/(Assumptions!$B$20-Assumptions!$B$21))</f>
        <v/>
      </c>
      <c r="E41" s="7">
        <f>C41+D41</f>
        <v/>
      </c>
      <c r="F41" s="7">
        <f>B41-D41</f>
        <v/>
      </c>
    </row>
    <row r="42" ht="18" customHeight="1">
      <c r="A42" s="10" t="n">
        <v>38</v>
      </c>
      <c r="B42" s="7">
        <f>F41</f>
        <v/>
      </c>
      <c r="C42" s="7">
        <f>B42*(Assumptions!$B$18/12)</f>
        <v/>
      </c>
      <c r="D42" s="7">
        <f>IF(A42&lt;=Assumptions!$B$21,0,Assumptions!$B$16/(Assumptions!$B$20-Assumptions!$B$21))</f>
        <v/>
      </c>
      <c r="E42" s="7">
        <f>C42+D42</f>
        <v/>
      </c>
      <c r="F42" s="7">
        <f>B42-D42</f>
        <v/>
      </c>
    </row>
    <row r="43" ht="18" customHeight="1">
      <c r="A43" s="10" t="n">
        <v>39</v>
      </c>
      <c r="B43" s="7">
        <f>F42</f>
        <v/>
      </c>
      <c r="C43" s="7">
        <f>B43*(Assumptions!$B$18/12)</f>
        <v/>
      </c>
      <c r="D43" s="7">
        <f>IF(A43&lt;=Assumptions!$B$21,0,Assumptions!$B$16/(Assumptions!$B$20-Assumptions!$B$21))</f>
        <v/>
      </c>
      <c r="E43" s="7">
        <f>C43+D43</f>
        <v/>
      </c>
      <c r="F43" s="7">
        <f>B43-D43</f>
        <v/>
      </c>
    </row>
    <row r="44" ht="18" customHeight="1">
      <c r="A44" s="10" t="n">
        <v>40</v>
      </c>
      <c r="B44" s="7">
        <f>F43</f>
        <v/>
      </c>
      <c r="C44" s="7">
        <f>B44*(Assumptions!$B$18/12)</f>
        <v/>
      </c>
      <c r="D44" s="7">
        <f>IF(A44&lt;=Assumptions!$B$21,0,Assumptions!$B$16/(Assumptions!$B$20-Assumptions!$B$21))</f>
        <v/>
      </c>
      <c r="E44" s="7">
        <f>C44+D44</f>
        <v/>
      </c>
      <c r="F44" s="7">
        <f>B44-D44</f>
        <v/>
      </c>
    </row>
    <row r="45" ht="18" customHeight="1">
      <c r="A45" s="10" t="n">
        <v>41</v>
      </c>
      <c r="B45" s="7">
        <f>F44</f>
        <v/>
      </c>
      <c r="C45" s="7">
        <f>B45*(Assumptions!$B$18/12)</f>
        <v/>
      </c>
      <c r="D45" s="7">
        <f>IF(A45&lt;=Assumptions!$B$21,0,Assumptions!$B$16/(Assumptions!$B$20-Assumptions!$B$21))</f>
        <v/>
      </c>
      <c r="E45" s="7">
        <f>C45+D45</f>
        <v/>
      </c>
      <c r="F45" s="7">
        <f>B45-D45</f>
        <v/>
      </c>
    </row>
    <row r="46" ht="18" customHeight="1">
      <c r="A46" s="10" t="n">
        <v>42</v>
      </c>
      <c r="B46" s="7">
        <f>F45</f>
        <v/>
      </c>
      <c r="C46" s="7">
        <f>B46*(Assumptions!$B$18/12)</f>
        <v/>
      </c>
      <c r="D46" s="7">
        <f>IF(A46&lt;=Assumptions!$B$21,0,Assumptions!$B$16/(Assumptions!$B$20-Assumptions!$B$21))</f>
        <v/>
      </c>
      <c r="E46" s="7">
        <f>C46+D46</f>
        <v/>
      </c>
      <c r="F46" s="7">
        <f>B46-D46</f>
        <v/>
      </c>
    </row>
    <row r="47" ht="18" customHeight="1">
      <c r="A47" s="10" t="n">
        <v>43</v>
      </c>
      <c r="B47" s="7">
        <f>F46</f>
        <v/>
      </c>
      <c r="C47" s="7">
        <f>B47*(Assumptions!$B$18/12)</f>
        <v/>
      </c>
      <c r="D47" s="7">
        <f>IF(A47&lt;=Assumptions!$B$21,0,Assumptions!$B$16/(Assumptions!$B$20-Assumptions!$B$21))</f>
        <v/>
      </c>
      <c r="E47" s="7">
        <f>C47+D47</f>
        <v/>
      </c>
      <c r="F47" s="7">
        <f>B47-D47</f>
        <v/>
      </c>
    </row>
    <row r="48" ht="18" customHeight="1">
      <c r="A48" s="10" t="n">
        <v>44</v>
      </c>
      <c r="B48" s="7">
        <f>F47</f>
        <v/>
      </c>
      <c r="C48" s="7">
        <f>B48*(Assumptions!$B$18/12)</f>
        <v/>
      </c>
      <c r="D48" s="7">
        <f>IF(A48&lt;=Assumptions!$B$21,0,Assumptions!$B$16/(Assumptions!$B$20-Assumptions!$B$21))</f>
        <v/>
      </c>
      <c r="E48" s="7">
        <f>C48+D48</f>
        <v/>
      </c>
      <c r="F48" s="7">
        <f>B48-D48</f>
        <v/>
      </c>
    </row>
    <row r="49" ht="18" customHeight="1">
      <c r="A49" s="10" t="n">
        <v>45</v>
      </c>
      <c r="B49" s="7">
        <f>F48</f>
        <v/>
      </c>
      <c r="C49" s="7">
        <f>B49*(Assumptions!$B$18/12)</f>
        <v/>
      </c>
      <c r="D49" s="7">
        <f>IF(A49&lt;=Assumptions!$B$21,0,Assumptions!$B$16/(Assumptions!$B$20-Assumptions!$B$21))</f>
        <v/>
      </c>
      <c r="E49" s="7">
        <f>C49+D49</f>
        <v/>
      </c>
      <c r="F49" s="7">
        <f>B49-D49</f>
        <v/>
      </c>
    </row>
    <row r="50" ht="18" customHeight="1">
      <c r="A50" s="10" t="n">
        <v>46</v>
      </c>
      <c r="B50" s="7">
        <f>F49</f>
        <v/>
      </c>
      <c r="C50" s="7">
        <f>B50*(Assumptions!$B$18/12)</f>
        <v/>
      </c>
      <c r="D50" s="7">
        <f>IF(A50&lt;=Assumptions!$B$21,0,Assumptions!$B$16/(Assumptions!$B$20-Assumptions!$B$21))</f>
        <v/>
      </c>
      <c r="E50" s="7">
        <f>C50+D50</f>
        <v/>
      </c>
      <c r="F50" s="7">
        <f>B50-D50</f>
        <v/>
      </c>
    </row>
    <row r="51" ht="18" customHeight="1">
      <c r="A51" s="10" t="n">
        <v>47</v>
      </c>
      <c r="B51" s="7">
        <f>F50</f>
        <v/>
      </c>
      <c r="C51" s="7">
        <f>B51*(Assumptions!$B$18/12)</f>
        <v/>
      </c>
      <c r="D51" s="7">
        <f>IF(A51&lt;=Assumptions!$B$21,0,Assumptions!$B$16/(Assumptions!$B$20-Assumptions!$B$21))</f>
        <v/>
      </c>
      <c r="E51" s="7">
        <f>C51+D51</f>
        <v/>
      </c>
      <c r="F51" s="7">
        <f>B51-D51</f>
        <v/>
      </c>
    </row>
    <row r="52" ht="18" customHeight="1">
      <c r="A52" s="10" t="n">
        <v>48</v>
      </c>
      <c r="B52" s="7">
        <f>F51</f>
        <v/>
      </c>
      <c r="C52" s="7">
        <f>B52*(Assumptions!$B$18/12)</f>
        <v/>
      </c>
      <c r="D52" s="7">
        <f>IF(A52&lt;=Assumptions!$B$21,0,Assumptions!$B$16/(Assumptions!$B$20-Assumptions!$B$21))</f>
        <v/>
      </c>
      <c r="E52" s="7">
        <f>C52+D52</f>
        <v/>
      </c>
      <c r="F52" s="7">
        <f>B52-D52</f>
        <v/>
      </c>
    </row>
    <row r="53" ht="18" customHeight="1">
      <c r="A53" s="10" t="n">
        <v>49</v>
      </c>
      <c r="B53" s="7">
        <f>F52</f>
        <v/>
      </c>
      <c r="C53" s="7">
        <f>B53*(Assumptions!$B$18/12)</f>
        <v/>
      </c>
      <c r="D53" s="7">
        <f>IF(A53&lt;=Assumptions!$B$21,0,Assumptions!$B$16/(Assumptions!$B$20-Assumptions!$B$21))</f>
        <v/>
      </c>
      <c r="E53" s="7">
        <f>C53+D53</f>
        <v/>
      </c>
      <c r="F53" s="7">
        <f>B53-D53</f>
        <v/>
      </c>
    </row>
    <row r="54" ht="18" customHeight="1">
      <c r="A54" s="10" t="n">
        <v>50</v>
      </c>
      <c r="B54" s="7">
        <f>F53</f>
        <v/>
      </c>
      <c r="C54" s="7">
        <f>B54*(Assumptions!$B$18/12)</f>
        <v/>
      </c>
      <c r="D54" s="7">
        <f>IF(A54&lt;=Assumptions!$B$21,0,Assumptions!$B$16/(Assumptions!$B$20-Assumptions!$B$21))</f>
        <v/>
      </c>
      <c r="E54" s="7">
        <f>C54+D54</f>
        <v/>
      </c>
      <c r="F54" s="7">
        <f>B54-D54</f>
        <v/>
      </c>
    </row>
    <row r="55" ht="18" customHeight="1">
      <c r="A55" s="10" t="n">
        <v>51</v>
      </c>
      <c r="B55" s="7">
        <f>F54</f>
        <v/>
      </c>
      <c r="C55" s="7">
        <f>B55*(Assumptions!$B$18/12)</f>
        <v/>
      </c>
      <c r="D55" s="7">
        <f>IF(A55&lt;=Assumptions!$B$21,0,Assumptions!$B$16/(Assumptions!$B$20-Assumptions!$B$21))</f>
        <v/>
      </c>
      <c r="E55" s="7">
        <f>C55+D55</f>
        <v/>
      </c>
      <c r="F55" s="7">
        <f>B55-D55</f>
        <v/>
      </c>
    </row>
    <row r="56" ht="18" customHeight="1">
      <c r="A56" s="10" t="n">
        <v>52</v>
      </c>
      <c r="B56" s="7">
        <f>F55</f>
        <v/>
      </c>
      <c r="C56" s="7">
        <f>B56*(Assumptions!$B$18/12)</f>
        <v/>
      </c>
      <c r="D56" s="7">
        <f>IF(A56&lt;=Assumptions!$B$21,0,Assumptions!$B$16/(Assumptions!$B$20-Assumptions!$B$21))</f>
        <v/>
      </c>
      <c r="E56" s="7">
        <f>C56+D56</f>
        <v/>
      </c>
      <c r="F56" s="7">
        <f>B56-D56</f>
        <v/>
      </c>
    </row>
    <row r="57" ht="18" customHeight="1">
      <c r="A57" s="10" t="n">
        <v>53</v>
      </c>
      <c r="B57" s="7">
        <f>F56</f>
        <v/>
      </c>
      <c r="C57" s="7">
        <f>B57*(Assumptions!$B$18/12)</f>
        <v/>
      </c>
      <c r="D57" s="7">
        <f>IF(A57&lt;=Assumptions!$B$21,0,Assumptions!$B$16/(Assumptions!$B$20-Assumptions!$B$21))</f>
        <v/>
      </c>
      <c r="E57" s="7">
        <f>C57+D57</f>
        <v/>
      </c>
      <c r="F57" s="7">
        <f>B57-D57</f>
        <v/>
      </c>
    </row>
    <row r="58" ht="18" customHeight="1">
      <c r="A58" s="10" t="n">
        <v>54</v>
      </c>
      <c r="B58" s="7">
        <f>F57</f>
        <v/>
      </c>
      <c r="C58" s="7">
        <f>B58*(Assumptions!$B$18/12)</f>
        <v/>
      </c>
      <c r="D58" s="7">
        <f>IF(A58&lt;=Assumptions!$B$21,0,Assumptions!$B$16/(Assumptions!$B$20-Assumptions!$B$21))</f>
        <v/>
      </c>
      <c r="E58" s="7">
        <f>C58+D58</f>
        <v/>
      </c>
      <c r="F58" s="7">
        <f>B58-D58</f>
        <v/>
      </c>
    </row>
    <row r="59" ht="18" customHeight="1">
      <c r="A59" s="10" t="n">
        <v>55</v>
      </c>
      <c r="B59" s="7">
        <f>F58</f>
        <v/>
      </c>
      <c r="C59" s="7">
        <f>B59*(Assumptions!$B$18/12)</f>
        <v/>
      </c>
      <c r="D59" s="7">
        <f>IF(A59&lt;=Assumptions!$B$21,0,Assumptions!$B$16/(Assumptions!$B$20-Assumptions!$B$21))</f>
        <v/>
      </c>
      <c r="E59" s="7">
        <f>C59+D59</f>
        <v/>
      </c>
      <c r="F59" s="7">
        <f>B59-D59</f>
        <v/>
      </c>
    </row>
    <row r="60" ht="18" customHeight="1">
      <c r="A60" s="10" t="n">
        <v>56</v>
      </c>
      <c r="B60" s="7">
        <f>F59</f>
        <v/>
      </c>
      <c r="C60" s="7">
        <f>B60*(Assumptions!$B$18/12)</f>
        <v/>
      </c>
      <c r="D60" s="7">
        <f>IF(A60&lt;=Assumptions!$B$21,0,Assumptions!$B$16/(Assumptions!$B$20-Assumptions!$B$21))</f>
        <v/>
      </c>
      <c r="E60" s="7">
        <f>C60+D60</f>
        <v/>
      </c>
      <c r="F60" s="7">
        <f>B60-D60</f>
        <v/>
      </c>
    </row>
    <row r="61" ht="18" customHeight="1">
      <c r="A61" s="10" t="n">
        <v>57</v>
      </c>
      <c r="B61" s="7">
        <f>F60</f>
        <v/>
      </c>
      <c r="C61" s="7">
        <f>B61*(Assumptions!$B$18/12)</f>
        <v/>
      </c>
      <c r="D61" s="7">
        <f>IF(A61&lt;=Assumptions!$B$21,0,Assumptions!$B$16/(Assumptions!$B$20-Assumptions!$B$21))</f>
        <v/>
      </c>
      <c r="E61" s="7">
        <f>C61+D61</f>
        <v/>
      </c>
      <c r="F61" s="7">
        <f>B61-D61</f>
        <v/>
      </c>
    </row>
    <row r="62" ht="18" customHeight="1">
      <c r="A62" s="10" t="n">
        <v>58</v>
      </c>
      <c r="B62" s="7">
        <f>F61</f>
        <v/>
      </c>
      <c r="C62" s="7">
        <f>B62*(Assumptions!$B$18/12)</f>
        <v/>
      </c>
      <c r="D62" s="7">
        <f>IF(A62&lt;=Assumptions!$B$21,0,Assumptions!$B$16/(Assumptions!$B$20-Assumptions!$B$21))</f>
        <v/>
      </c>
      <c r="E62" s="7">
        <f>C62+D62</f>
        <v/>
      </c>
      <c r="F62" s="7">
        <f>B62-D62</f>
        <v/>
      </c>
    </row>
    <row r="63" ht="18" customHeight="1">
      <c r="A63" s="10" t="n">
        <v>59</v>
      </c>
      <c r="B63" s="7">
        <f>F62</f>
        <v/>
      </c>
      <c r="C63" s="7">
        <f>B63*(Assumptions!$B$18/12)</f>
        <v/>
      </c>
      <c r="D63" s="7">
        <f>IF(A63&lt;=Assumptions!$B$21,0,Assumptions!$B$16/(Assumptions!$B$20-Assumptions!$B$21))</f>
        <v/>
      </c>
      <c r="E63" s="7">
        <f>C63+D63</f>
        <v/>
      </c>
      <c r="F63" s="7">
        <f>B63-D63</f>
        <v/>
      </c>
    </row>
    <row r="64" ht="18" customHeight="1">
      <c r="A64" s="10" t="n">
        <v>60</v>
      </c>
      <c r="B64" s="7">
        <f>F63</f>
        <v/>
      </c>
      <c r="C64" s="7">
        <f>B64*(Assumptions!$B$18/12)</f>
        <v/>
      </c>
      <c r="D64" s="7">
        <f>IF(A64&lt;=Assumptions!$B$21,0,Assumptions!$B$16/(Assumptions!$B$20-Assumptions!$B$21))</f>
        <v/>
      </c>
      <c r="E64" s="7">
        <f>C64+D64</f>
        <v/>
      </c>
      <c r="F64" s="7">
        <f>B64-D64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0" customWidth="1" min="2" max="2"/>
    <col width="20" customWidth="1" min="3" max="3"/>
    <col width="20" customWidth="1" min="4" max="4"/>
    <col width="27" customWidth="1" min="5" max="5"/>
    <col width="21" customWidth="1" min="6" max="6"/>
    <col width="20" customWidth="1" min="7" max="7"/>
    <col width="20" customWidth="1" min="8" max="8"/>
  </cols>
  <sheetData>
    <row r="1" ht="28" customHeight="1">
      <c r="A1" s="1" t="inlineStr">
        <is>
          <t>FIXED ASSETS &amp; DEPRECIATION SCHEDULE</t>
        </is>
      </c>
    </row>
    <row r="2" ht="18" customHeight="1">
      <c r="A2" s="2" t="inlineStr">
        <is>
          <t>WDV Capital Allowance and Asset Additions Registry</t>
        </is>
      </c>
    </row>
    <row r="3">
      <c r="A3" s="3" t="inlineStr">
        <is>
          <t>Building Block</t>
        </is>
      </c>
    </row>
    <row r="4" ht="24" customHeight="1">
      <c r="A4" s="4" t="inlineStr">
        <is>
          <t>Year</t>
        </is>
      </c>
      <c r="B4" s="4" t="inlineStr">
        <is>
          <t>Opening WDV</t>
        </is>
      </c>
      <c r="C4" s="4" t="inlineStr">
        <is>
          <t>Additions (&gt;180d)</t>
        </is>
      </c>
      <c r="D4" s="4" t="inlineStr">
        <is>
          <t>Additions (&lt;180d)</t>
        </is>
      </c>
      <c r="E4" s="4" t="inlineStr">
        <is>
          <t>Deletions</t>
        </is>
      </c>
      <c r="F4" s="4" t="inlineStr">
        <is>
          <t>Gross Block</t>
        </is>
      </c>
      <c r="G4" s="4" t="inlineStr">
        <is>
          <t>Depreciation</t>
        </is>
      </c>
      <c r="H4" s="4" t="inlineStr">
        <is>
          <t>Closing Net Block</t>
        </is>
      </c>
    </row>
    <row r="5" ht="20" customHeight="1">
      <c r="A5" s="12" t="n">
        <v>1</v>
      </c>
      <c r="B5" s="7" t="n">
        <v>3941803.2</v>
      </c>
      <c r="C5" s="7" t="n">
        <v>0</v>
      </c>
      <c r="D5" s="7" t="n">
        <v>0</v>
      </c>
      <c r="E5" s="7" t="n">
        <v>0</v>
      </c>
      <c r="F5" s="7">
        <f>B5+C5+D5-E5</f>
        <v/>
      </c>
      <c r="G5" s="7">
        <f>(B5+C5-E5)*Assumptions!$C$29+D5*Assumptions!$C$29*0.5</f>
        <v/>
      </c>
      <c r="H5" s="13">
        <f>F5-G5</f>
        <v/>
      </c>
    </row>
    <row r="6" ht="20" customHeight="1">
      <c r="A6" s="12" t="n">
        <v>2</v>
      </c>
      <c r="B6" s="7">
        <f>H5</f>
        <v/>
      </c>
      <c r="C6" s="7" t="n">
        <v>0</v>
      </c>
      <c r="D6" s="7" t="n">
        <v>0</v>
      </c>
      <c r="E6" s="7" t="n">
        <v>0</v>
      </c>
      <c r="F6" s="7">
        <f>B6+C6+D6-E6</f>
        <v/>
      </c>
      <c r="G6" s="7">
        <f>(B6+C6-E6)*Assumptions!$C$29+D6*Assumptions!$C$29*0.5</f>
        <v/>
      </c>
      <c r="H6" s="13">
        <f>F6-G6</f>
        <v/>
      </c>
    </row>
    <row r="7" ht="20" customHeight="1">
      <c r="A7" s="12" t="n">
        <v>3</v>
      </c>
      <c r="B7" s="7">
        <f>H6</f>
        <v/>
      </c>
      <c r="C7" s="7" t="n">
        <v>0</v>
      </c>
      <c r="D7" s="7" t="n">
        <v>0</v>
      </c>
      <c r="E7" s="7" t="n">
        <v>0</v>
      </c>
      <c r="F7" s="7">
        <f>B7+C7+D7-E7</f>
        <v/>
      </c>
      <c r="G7" s="7">
        <f>(B7+C7-E7)*Assumptions!$C$29+D7*Assumptions!$C$29*0.5</f>
        <v/>
      </c>
      <c r="H7" s="13">
        <f>F7-G7</f>
        <v/>
      </c>
    </row>
    <row r="8" ht="20" customHeight="1">
      <c r="A8" s="12" t="n">
        <v>4</v>
      </c>
      <c r="B8" s="7">
        <f>H7</f>
        <v/>
      </c>
      <c r="C8" s="7" t="n">
        <v>0</v>
      </c>
      <c r="D8" s="7" t="n">
        <v>0</v>
      </c>
      <c r="E8" s="7" t="n">
        <v>0</v>
      </c>
      <c r="F8" s="7">
        <f>B8+C8+D8-E8</f>
        <v/>
      </c>
      <c r="G8" s="7">
        <f>(B8+C8-E8)*Assumptions!$C$29+D8*Assumptions!$C$29*0.5</f>
        <v/>
      </c>
      <c r="H8" s="13">
        <f>F8-G8</f>
        <v/>
      </c>
    </row>
    <row r="9" ht="20" customHeight="1">
      <c r="A9" s="12" t="n">
        <v>5</v>
      </c>
      <c r="B9" s="7">
        <f>H8</f>
        <v/>
      </c>
      <c r="C9" s="7" t="n">
        <v>0</v>
      </c>
      <c r="D9" s="7" t="n">
        <v>0</v>
      </c>
      <c r="E9" s="7" t="n">
        <v>0</v>
      </c>
      <c r="F9" s="7">
        <f>B9+C9+D9-E9</f>
        <v/>
      </c>
      <c r="G9" s="7">
        <f>(B9+C9-E9)*Assumptions!$C$29+D9*Assumptions!$C$29*0.5</f>
        <v/>
      </c>
      <c r="H9" s="13">
        <f>F9-G9</f>
        <v/>
      </c>
    </row>
    <row r="10"/>
    <row r="11"/>
    <row r="12">
      <c r="A12" s="3" t="inlineStr">
        <is>
          <t>Plant &amp; Machinery Block</t>
        </is>
      </c>
    </row>
    <row r="13" ht="24" customHeight="1">
      <c r="A13" s="4" t="inlineStr">
        <is>
          <t>Year</t>
        </is>
      </c>
      <c r="B13" s="4" t="inlineStr">
        <is>
          <t>Opening WDV</t>
        </is>
      </c>
      <c r="C13" s="4" t="inlineStr">
        <is>
          <t>Additions (&gt;180d)</t>
        </is>
      </c>
      <c r="D13" s="4" t="inlineStr">
        <is>
          <t>Additions (&lt;180d)</t>
        </is>
      </c>
      <c r="E13" s="4" t="inlineStr">
        <is>
          <t>Deletions</t>
        </is>
      </c>
      <c r="F13" s="4" t="inlineStr">
        <is>
          <t>Gross Block</t>
        </is>
      </c>
      <c r="G13" s="4" t="inlineStr">
        <is>
          <t>Depreciation</t>
        </is>
      </c>
      <c r="H13" s="4" t="inlineStr">
        <is>
          <t>Closing Net Block</t>
        </is>
      </c>
    </row>
    <row r="14" ht="20" customHeight="1">
      <c r="A14" s="12" t="n">
        <v>1</v>
      </c>
      <c r="B14" s="7" t="n">
        <v>4927254</v>
      </c>
      <c r="C14" s="7" t="n">
        <v>0</v>
      </c>
      <c r="D14" s="7" t="n">
        <v>0</v>
      </c>
      <c r="E14" s="7" t="n">
        <v>0</v>
      </c>
      <c r="F14" s="7">
        <f>B14+C14+D14-E14</f>
        <v/>
      </c>
      <c r="G14" s="7">
        <f>(B14+C14-E14)*Assumptions!$C$30+D14*Assumptions!$C$30*0.5</f>
        <v/>
      </c>
      <c r="H14" s="13">
        <f>F14-G14</f>
        <v/>
      </c>
    </row>
    <row r="15" ht="20" customHeight="1">
      <c r="A15" s="12" t="n">
        <v>2</v>
      </c>
      <c r="B15" s="7">
        <f>H14</f>
        <v/>
      </c>
      <c r="C15" s="7" t="n">
        <v>0</v>
      </c>
      <c r="D15" s="7" t="n">
        <v>0</v>
      </c>
      <c r="E15" s="7" t="n">
        <v>0</v>
      </c>
      <c r="F15" s="7">
        <f>B15+C15+D15-E15</f>
        <v/>
      </c>
      <c r="G15" s="7">
        <f>(B15+C15-E15)*Assumptions!$C$30+D15*Assumptions!$C$30*0.5</f>
        <v/>
      </c>
      <c r="H15" s="13">
        <f>F15-G15</f>
        <v/>
      </c>
    </row>
    <row r="16" ht="20" customHeight="1">
      <c r="A16" s="12" t="n">
        <v>3</v>
      </c>
      <c r="B16" s="7">
        <f>H15</f>
        <v/>
      </c>
      <c r="C16" s="7" t="n">
        <v>0</v>
      </c>
      <c r="D16" s="7" t="n">
        <v>0</v>
      </c>
      <c r="E16" s="7" t="n">
        <v>0</v>
      </c>
      <c r="F16" s="7">
        <f>B16+C16+D16-E16</f>
        <v/>
      </c>
      <c r="G16" s="7">
        <f>(B16+C16-E16)*Assumptions!$C$30+D16*Assumptions!$C$30*0.5</f>
        <v/>
      </c>
      <c r="H16" s="13">
        <f>F16-G16</f>
        <v/>
      </c>
    </row>
    <row r="17" ht="20" customHeight="1">
      <c r="A17" s="12" t="n">
        <v>4</v>
      </c>
      <c r="B17" s="7">
        <f>H16</f>
        <v/>
      </c>
      <c r="C17" s="7" t="n">
        <v>0</v>
      </c>
      <c r="D17" s="7" t="n">
        <v>0</v>
      </c>
      <c r="E17" s="7" t="n">
        <v>0</v>
      </c>
      <c r="F17" s="7">
        <f>B17+C17+D17-E17</f>
        <v/>
      </c>
      <c r="G17" s="7">
        <f>(B17+C17-E17)*Assumptions!$C$30+D17*Assumptions!$C$30*0.5</f>
        <v/>
      </c>
      <c r="H17" s="13">
        <f>F17-G17</f>
        <v/>
      </c>
    </row>
    <row r="18" ht="20" customHeight="1">
      <c r="A18" s="12" t="n">
        <v>5</v>
      </c>
      <c r="B18" s="7">
        <f>H17</f>
        <v/>
      </c>
      <c r="C18" s="7" t="n">
        <v>0</v>
      </c>
      <c r="D18" s="7" t="n">
        <v>0</v>
      </c>
      <c r="E18" s="7" t="n">
        <v>0</v>
      </c>
      <c r="F18" s="7">
        <f>B18+C18+D18-E18</f>
        <v/>
      </c>
      <c r="G18" s="7">
        <f>(B18+C18-E18)*Assumptions!$C$30+D18*Assumptions!$C$30*0.5</f>
        <v/>
      </c>
      <c r="H18" s="13">
        <f>F18-G18</f>
        <v/>
      </c>
    </row>
    <row r="19"/>
    <row r="20"/>
    <row r="21">
      <c r="A21" s="3" t="inlineStr">
        <is>
          <t>Computers &amp; IT Block</t>
        </is>
      </c>
    </row>
    <row r="22" ht="24" customHeight="1">
      <c r="A22" s="4" t="inlineStr">
        <is>
          <t>Year</t>
        </is>
      </c>
      <c r="B22" s="4" t="inlineStr">
        <is>
          <t>Opening WDV</t>
        </is>
      </c>
      <c r="C22" s="4" t="inlineStr">
        <is>
          <t>Additions (&gt;180d)</t>
        </is>
      </c>
      <c r="D22" s="4" t="inlineStr">
        <is>
          <t>Additions (&lt;180d)</t>
        </is>
      </c>
      <c r="E22" s="4" t="inlineStr">
        <is>
          <t>Deletions</t>
        </is>
      </c>
      <c r="F22" s="4" t="inlineStr">
        <is>
          <t>Gross Block</t>
        </is>
      </c>
      <c r="G22" s="4" t="inlineStr">
        <is>
          <t>Depreciation</t>
        </is>
      </c>
      <c r="H22" s="4" t="inlineStr">
        <is>
          <t>Closing Net Block</t>
        </is>
      </c>
    </row>
    <row r="23" ht="20" customHeight="1">
      <c r="A23" s="12" t="n">
        <v>1</v>
      </c>
      <c r="B23" s="7" t="n">
        <v>492725.4</v>
      </c>
      <c r="C23" s="7" t="n">
        <v>0</v>
      </c>
      <c r="D23" s="7" t="n">
        <v>0</v>
      </c>
      <c r="E23" s="7" t="n">
        <v>0</v>
      </c>
      <c r="F23" s="7">
        <f>B23+C23+D23-E23</f>
        <v/>
      </c>
      <c r="G23" s="7">
        <f>(B23+C23-E23)*Assumptions!$C$31+D23*Assumptions!$C$31*0.5</f>
        <v/>
      </c>
      <c r="H23" s="13">
        <f>F23-G23</f>
        <v/>
      </c>
    </row>
    <row r="24" ht="20" customHeight="1">
      <c r="A24" s="12" t="n">
        <v>2</v>
      </c>
      <c r="B24" s="7">
        <f>H23</f>
        <v/>
      </c>
      <c r="C24" s="7" t="n">
        <v>0</v>
      </c>
      <c r="D24" s="7" t="n">
        <v>0</v>
      </c>
      <c r="E24" s="7" t="n">
        <v>0</v>
      </c>
      <c r="F24" s="7">
        <f>B24+C24+D24-E24</f>
        <v/>
      </c>
      <c r="G24" s="7">
        <f>(B24+C24-E24)*Assumptions!$C$31+D24*Assumptions!$C$31*0.5</f>
        <v/>
      </c>
      <c r="H24" s="13">
        <f>F24-G24</f>
        <v/>
      </c>
    </row>
    <row r="25" ht="20" customHeight="1">
      <c r="A25" s="12" t="n">
        <v>3</v>
      </c>
      <c r="B25" s="7">
        <f>H24</f>
        <v/>
      </c>
      <c r="C25" s="7" t="n">
        <v>0</v>
      </c>
      <c r="D25" s="7" t="n">
        <v>0</v>
      </c>
      <c r="E25" s="7" t="n">
        <v>0</v>
      </c>
      <c r="F25" s="7">
        <f>B25+C25+D25-E25</f>
        <v/>
      </c>
      <c r="G25" s="7">
        <f>(B25+C25-E25)*Assumptions!$C$31+D25*Assumptions!$C$31*0.5</f>
        <v/>
      </c>
      <c r="H25" s="13">
        <f>F25-G25</f>
        <v/>
      </c>
    </row>
    <row r="26" ht="20" customHeight="1">
      <c r="A26" s="12" t="n">
        <v>4</v>
      </c>
      <c r="B26" s="7">
        <f>H25</f>
        <v/>
      </c>
      <c r="C26" s="7" t="n">
        <v>0</v>
      </c>
      <c r="D26" s="7" t="n">
        <v>0</v>
      </c>
      <c r="E26" s="7" t="n">
        <v>0</v>
      </c>
      <c r="F26" s="7">
        <f>B26+C26+D26-E26</f>
        <v/>
      </c>
      <c r="G26" s="7">
        <f>(B26+C26-E26)*Assumptions!$C$31+D26*Assumptions!$C$31*0.5</f>
        <v/>
      </c>
      <c r="H26" s="13">
        <f>F26-G26</f>
        <v/>
      </c>
    </row>
    <row r="27" ht="20" customHeight="1">
      <c r="A27" s="12" t="n">
        <v>5</v>
      </c>
      <c r="B27" s="7">
        <f>H26</f>
        <v/>
      </c>
      <c r="C27" s="7" t="n">
        <v>0</v>
      </c>
      <c r="D27" s="7" t="n">
        <v>0</v>
      </c>
      <c r="E27" s="7" t="n">
        <v>0</v>
      </c>
      <c r="F27" s="7">
        <f>B27+C27+D27-E27</f>
        <v/>
      </c>
      <c r="G27" s="7">
        <f>(B27+C27-E27)*Assumptions!$C$31+D27*Assumptions!$C$31*0.5</f>
        <v/>
      </c>
      <c r="H27" s="13">
        <f>F27-G27</f>
        <v/>
      </c>
    </row>
    <row r="28"/>
    <row r="29"/>
    <row r="30">
      <c r="A30" s="3" t="inlineStr">
        <is>
          <t>Office Equipment Block</t>
        </is>
      </c>
    </row>
    <row r="31" ht="24" customHeight="1">
      <c r="A31" s="4" t="inlineStr">
        <is>
          <t>Year</t>
        </is>
      </c>
      <c r="B31" s="4" t="inlineStr">
        <is>
          <t>Opening WDV</t>
        </is>
      </c>
      <c r="C31" s="4" t="inlineStr">
        <is>
          <t>Additions (&gt;180d)</t>
        </is>
      </c>
      <c r="D31" s="4" t="inlineStr">
        <is>
          <t>Additions (&lt;180d)</t>
        </is>
      </c>
      <c r="E31" s="4" t="inlineStr">
        <is>
          <t>Deletions</t>
        </is>
      </c>
      <c r="F31" s="4" t="inlineStr">
        <is>
          <t>Gross Block</t>
        </is>
      </c>
      <c r="G31" s="4" t="inlineStr">
        <is>
          <t>Depreciation</t>
        </is>
      </c>
      <c r="H31" s="4" t="inlineStr">
        <is>
          <t>Closing Net Block</t>
        </is>
      </c>
    </row>
    <row r="32" ht="20" customHeight="1">
      <c r="A32" s="12" t="n">
        <v>1</v>
      </c>
      <c r="B32" s="7" t="n">
        <v>492725.4</v>
      </c>
      <c r="C32" s="7" t="n">
        <v>0</v>
      </c>
      <c r="D32" s="7" t="n">
        <v>0</v>
      </c>
      <c r="E32" s="7" t="n">
        <v>0</v>
      </c>
      <c r="F32" s="7">
        <f>B32+C32+D32-E32</f>
        <v/>
      </c>
      <c r="G32" s="7">
        <f>(B32+C32-E32)*Assumptions!$C$32+D32*Assumptions!$C$32*0.5</f>
        <v/>
      </c>
      <c r="H32" s="13">
        <f>F32-G32</f>
        <v/>
      </c>
    </row>
    <row r="33" ht="20" customHeight="1">
      <c r="A33" s="12" t="n">
        <v>2</v>
      </c>
      <c r="B33" s="7">
        <f>H32</f>
        <v/>
      </c>
      <c r="C33" s="7" t="n">
        <v>0</v>
      </c>
      <c r="D33" s="7" t="n">
        <v>0</v>
      </c>
      <c r="E33" s="7" t="n">
        <v>0</v>
      </c>
      <c r="F33" s="7">
        <f>B33+C33+D33-E33</f>
        <v/>
      </c>
      <c r="G33" s="7">
        <f>(B33+C33-E33)*Assumptions!$C$32+D33*Assumptions!$C$32*0.5</f>
        <v/>
      </c>
      <c r="H33" s="13">
        <f>F33-G33</f>
        <v/>
      </c>
    </row>
    <row r="34" ht="20" customHeight="1">
      <c r="A34" s="12" t="n">
        <v>3</v>
      </c>
      <c r="B34" s="7">
        <f>H33</f>
        <v/>
      </c>
      <c r="C34" s="7" t="n">
        <v>0</v>
      </c>
      <c r="D34" s="7" t="n">
        <v>0</v>
      </c>
      <c r="E34" s="7" t="n">
        <v>0</v>
      </c>
      <c r="F34" s="7">
        <f>B34+C34+D34-E34</f>
        <v/>
      </c>
      <c r="G34" s="7">
        <f>(B34+C34-E34)*Assumptions!$C$32+D34*Assumptions!$C$32*0.5</f>
        <v/>
      </c>
      <c r="H34" s="13">
        <f>F34-G34</f>
        <v/>
      </c>
    </row>
    <row r="35" ht="20" customHeight="1">
      <c r="A35" s="12" t="n">
        <v>4</v>
      </c>
      <c r="B35" s="7">
        <f>H34</f>
        <v/>
      </c>
      <c r="C35" s="7" t="n">
        <v>0</v>
      </c>
      <c r="D35" s="7" t="n">
        <v>0</v>
      </c>
      <c r="E35" s="7" t="n">
        <v>0</v>
      </c>
      <c r="F35" s="7">
        <f>B35+C35+D35-E35</f>
        <v/>
      </c>
      <c r="G35" s="7">
        <f>(B35+C35-E35)*Assumptions!$C$32+D35*Assumptions!$C$32*0.5</f>
        <v/>
      </c>
      <c r="H35" s="13">
        <f>F35-G35</f>
        <v/>
      </c>
    </row>
    <row r="36" ht="20" customHeight="1">
      <c r="A36" s="12" t="n">
        <v>5</v>
      </c>
      <c r="B36" s="7">
        <f>H35</f>
        <v/>
      </c>
      <c r="C36" s="7" t="n">
        <v>0</v>
      </c>
      <c r="D36" s="7" t="n">
        <v>0</v>
      </c>
      <c r="E36" s="7" t="n">
        <v>0</v>
      </c>
      <c r="F36" s="7">
        <f>B36+C36+D36-E36</f>
        <v/>
      </c>
      <c r="G36" s="7">
        <f>(B36+C36-E36)*Assumptions!$C$32+D36*Assumptions!$C$32*0.5</f>
        <v/>
      </c>
      <c r="H36" s="13">
        <f>F36-G36</f>
        <v/>
      </c>
    </row>
    <row r="37"/>
    <row r="38"/>
    <row r="39">
      <c r="A39" s="3" t="inlineStr">
        <is>
          <t>CONSOLIDATED FIXED ASSETS SUMMARY</t>
        </is>
      </c>
    </row>
    <row r="40" ht="24" customHeight="1">
      <c r="A40" s="14" t="inlineStr">
        <is>
          <t>Year</t>
        </is>
      </c>
      <c r="B40" s="14" t="inlineStr">
        <is>
          <t>Opening Net Block</t>
        </is>
      </c>
      <c r="C40" s="14" t="inlineStr">
        <is>
          <t>Total Additions</t>
        </is>
      </c>
      <c r="D40" s="14" t="inlineStr">
        <is>
          <t>Total Deletions</t>
        </is>
      </c>
      <c r="E40" s="14" t="inlineStr">
        <is>
          <t>Gross Consolidated Block</t>
        </is>
      </c>
      <c r="F40" s="14" t="inlineStr">
        <is>
          <t>Total Depreciation</t>
        </is>
      </c>
      <c r="G40" s="14" t="inlineStr">
        <is>
          <t>Net Closing Block</t>
        </is>
      </c>
    </row>
    <row r="41" ht="20" customHeight="1">
      <c r="A41" s="15" t="n">
        <v>1</v>
      </c>
      <c r="B41" s="16">
        <f>B5+B14+B23+B32</f>
        <v/>
      </c>
      <c r="C41" s="16">
        <f>C5+D5+C14+D14+C23+D23+C32+D32</f>
        <v/>
      </c>
      <c r="D41" s="16">
        <f>E5+E14+E23+E32</f>
        <v/>
      </c>
      <c r="E41" s="16">
        <f>F5+F14+F23+F32</f>
        <v/>
      </c>
      <c r="F41" s="17">
        <f>G5+G14+G23+G32</f>
        <v/>
      </c>
      <c r="G41" s="17">
        <f>H5+H14+H23+H32</f>
        <v/>
      </c>
    </row>
    <row r="42" ht="20" customHeight="1">
      <c r="A42" s="15" t="n">
        <v>2</v>
      </c>
      <c r="B42" s="16">
        <f>B6+B15+B24+B33</f>
        <v/>
      </c>
      <c r="C42" s="16">
        <f>C6+D6+C15+D15+C24+D24+C33+D33</f>
        <v/>
      </c>
      <c r="D42" s="16">
        <f>E6+E15+E24+E33</f>
        <v/>
      </c>
      <c r="E42" s="16">
        <f>F6+F15+F24+F33</f>
        <v/>
      </c>
      <c r="F42" s="17">
        <f>G6+G15+G24+G33</f>
        <v/>
      </c>
      <c r="G42" s="17">
        <f>H6+H15+H24+H33</f>
        <v/>
      </c>
    </row>
    <row r="43" ht="20" customHeight="1">
      <c r="A43" s="15" t="n">
        <v>3</v>
      </c>
      <c r="B43" s="16">
        <f>B7+B16+B25+B34</f>
        <v/>
      </c>
      <c r="C43" s="16">
        <f>C7+D7+C16+D16+C25+D25+C34+D34</f>
        <v/>
      </c>
      <c r="D43" s="16">
        <f>E7+E16+E25+E34</f>
        <v/>
      </c>
      <c r="E43" s="16">
        <f>F7+F16+F25+F34</f>
        <v/>
      </c>
      <c r="F43" s="17">
        <f>G7+G16+G25+G34</f>
        <v/>
      </c>
      <c r="G43" s="17">
        <f>H7+H16+H25+H34</f>
        <v/>
      </c>
    </row>
    <row r="44" ht="20" customHeight="1">
      <c r="A44" s="15" t="n">
        <v>4</v>
      </c>
      <c r="B44" s="16">
        <f>B8+B17+B26+B35</f>
        <v/>
      </c>
      <c r="C44" s="16">
        <f>C8+D8+C17+D17+C26+D26+C35+D35</f>
        <v/>
      </c>
      <c r="D44" s="16">
        <f>E8+E17+E26+E35</f>
        <v/>
      </c>
      <c r="E44" s="16">
        <f>F8+F17+F26+F35</f>
        <v/>
      </c>
      <c r="F44" s="17">
        <f>G8+G17+G26+G35</f>
        <v/>
      </c>
      <c r="G44" s="17">
        <f>H8+H17+H26+H35</f>
        <v/>
      </c>
    </row>
    <row r="45" ht="20" customHeight="1">
      <c r="A45" s="15" t="n">
        <v>5</v>
      </c>
      <c r="B45" s="16">
        <f>B9+B18+B27+B36</f>
        <v/>
      </c>
      <c r="C45" s="16">
        <f>C9+D9+C18+D18+C27+D27+C36+D36</f>
        <v/>
      </c>
      <c r="D45" s="16">
        <f>E9+E18+E27+E36</f>
        <v/>
      </c>
      <c r="E45" s="16">
        <f>F9+F18+F27+F36</f>
        <v/>
      </c>
      <c r="F45" s="17">
        <f>G9+G18+G27+G36</f>
        <v/>
      </c>
      <c r="G45" s="17">
        <f>H9+H18+H27+H36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8" customHeight="1">
      <c r="A1" s="1" t="inlineStr">
        <is>
          <t>PROJECTED STATEMENT OF PROFIT &amp; LOSS (₹)</t>
        </is>
      </c>
    </row>
    <row r="2" ht="18" customHeight="1">
      <c r="A2" s="2" t="inlineStr">
        <is>
          <t>5-Year Profitability Forecast &amp; Margin Trajectory</t>
        </is>
      </c>
    </row>
    <row r="3"/>
    <row r="4" ht="24" customHeight="1">
      <c r="A4" s="4" t="inlineStr">
        <is>
          <t>Particulars</t>
        </is>
      </c>
      <c r="B4" s="4" t="inlineStr">
        <is>
          <t>Base Year (Y0)</t>
        </is>
      </c>
      <c r="C4" s="4" t="inlineStr">
        <is>
          <t>Year 1 (Y1)</t>
        </is>
      </c>
      <c r="D4" s="4" t="inlineStr">
        <is>
          <t>Year 2 (Y2)</t>
        </is>
      </c>
      <c r="E4" s="4" t="inlineStr">
        <is>
          <t>Year 3 (Y3)</t>
        </is>
      </c>
      <c r="F4" s="4" t="inlineStr">
        <is>
          <t>Year 4 (Y4)</t>
        </is>
      </c>
      <c r="G4" s="4" t="inlineStr">
        <is>
          <t>Year 5 (Y5)</t>
        </is>
      </c>
    </row>
    <row r="5" ht="20" customHeight="1">
      <c r="A5" s="5" t="inlineStr">
        <is>
          <t>Capacity Utilization %</t>
        </is>
      </c>
      <c r="B5" s="18" t="inlineStr">
        <is>
          <t>-</t>
        </is>
      </c>
      <c r="C5" s="19" t="inlineStr">
        <is>
          <t>Assumptions!B5</t>
        </is>
      </c>
      <c r="D5" s="19" t="inlineStr">
        <is>
          <t>Assumptions!C5</t>
        </is>
      </c>
      <c r="E5" s="19" t="inlineStr">
        <is>
          <t>Assumptions!D5</t>
        </is>
      </c>
      <c r="F5" s="19" t="inlineStr">
        <is>
          <t>Assumptions!E5</t>
        </is>
      </c>
      <c r="G5" s="19" t="inlineStr">
        <is>
          <t>Assumptions!F5</t>
        </is>
      </c>
    </row>
    <row r="6" ht="20" customHeight="1">
      <c r="A6" s="20" t="inlineStr">
        <is>
          <t>Revenue from Sales</t>
        </is>
      </c>
      <c r="B6" s="17" t="inlineStr">
        <is>
          <t>Assumptions!$B$36</t>
        </is>
      </c>
      <c r="C6" s="17">
        <f>B6*(1+Assumptions!B7)</f>
        <v/>
      </c>
      <c r="D6" s="17">
        <f>C6*(1+Assumptions!C7)</f>
        <v/>
      </c>
      <c r="E6" s="17">
        <f>D6*(1+Assumptions!D7)</f>
        <v/>
      </c>
      <c r="F6" s="17">
        <f>E6*(1+Assumptions!E7)</f>
        <v/>
      </c>
      <c r="G6" s="17">
        <f>F6*(1+Assumptions!F7)</f>
        <v/>
      </c>
    </row>
    <row r="7" ht="20" customHeight="1">
      <c r="A7" s="21" t="inlineStr">
        <is>
          <t>Less: Cost of Materials Consumed (RM)</t>
        </is>
      </c>
      <c r="B7" s="7" t="n">
        <v>24750000</v>
      </c>
      <c r="C7" s="7">
        <f>C6*Assumptions!B9</f>
        <v/>
      </c>
      <c r="D7" s="7">
        <f>D6*Assumptions!C9</f>
        <v/>
      </c>
      <c r="E7" s="7">
        <f>E6*Assumptions!D9</f>
        <v/>
      </c>
      <c r="F7" s="7">
        <f>F6*Assumptions!E9</f>
        <v/>
      </c>
      <c r="G7" s="7">
        <f>G6*Assumptions!F9</f>
        <v/>
      </c>
    </row>
    <row r="8" ht="20" customHeight="1">
      <c r="A8" s="21" t="inlineStr">
        <is>
          <t>Less: Power, Labor &amp; Administrative Exp</t>
        </is>
      </c>
      <c r="B8" s="7" t="n">
        <v>5400000</v>
      </c>
      <c r="C8" s="7">
        <f>C6*Assumptions!B11</f>
        <v/>
      </c>
      <c r="D8" s="7">
        <f>D6*Assumptions!C11</f>
        <v/>
      </c>
      <c r="E8" s="7">
        <f>E6*Assumptions!D11</f>
        <v/>
      </c>
      <c r="F8" s="7">
        <f>F6*Assumptions!E11</f>
        <v/>
      </c>
      <c r="G8" s="7">
        <f>G6*Assumptions!F11</f>
        <v/>
      </c>
    </row>
    <row r="9" ht="20" customHeight="1">
      <c r="A9" s="20" t="inlineStr">
        <is>
          <t>Earnings before EBITDA</t>
        </is>
      </c>
      <c r="B9" s="17">
        <f>B6-B7-B8</f>
        <v/>
      </c>
      <c r="C9" s="17">
        <f>C6-C7-C8</f>
        <v/>
      </c>
      <c r="D9" s="17">
        <f>D6-D7-D8</f>
        <v/>
      </c>
      <c r="E9" s="17">
        <f>E6-E7-E8</f>
        <v/>
      </c>
      <c r="F9" s="17">
        <f>F6-F7-F8</f>
        <v/>
      </c>
      <c r="G9" s="17">
        <f>G6-G7-G8</f>
        <v/>
      </c>
    </row>
    <row r="10" ht="20" customHeight="1">
      <c r="A10" s="21" t="inlineStr">
        <is>
          <t>Less: Depreciation &amp; Amortization</t>
        </is>
      </c>
      <c r="B10" s="7" t="n">
        <v>4100000</v>
      </c>
      <c r="C10" s="7">
        <f>Depreciation!F41</f>
        <v/>
      </c>
      <c r="D10" s="7">
        <f>Depreciation!F42</f>
        <v/>
      </c>
      <c r="E10" s="7">
        <f>Depreciation!F43</f>
        <v/>
      </c>
      <c r="F10" s="7">
        <f>Depreciation!F44</f>
        <v/>
      </c>
      <c r="G10" s="7">
        <f>Depreciation!F45</f>
        <v/>
      </c>
    </row>
    <row r="11" ht="20" customHeight="1">
      <c r="A11" s="20" t="inlineStr">
        <is>
          <t>Operating Profit (EBIT)</t>
        </is>
      </c>
      <c r="B11" s="17">
        <f>B9-B10</f>
        <v/>
      </c>
      <c r="C11" s="17">
        <f>C9-C10</f>
        <v/>
      </c>
      <c r="D11" s="17">
        <f>D9-D10</f>
        <v/>
      </c>
      <c r="E11" s="17">
        <f>E9-E10</f>
        <v/>
      </c>
      <c r="F11" s="17">
        <f>F9-F10</f>
        <v/>
      </c>
      <c r="G11" s="17">
        <f>G9-G10</f>
        <v/>
      </c>
    </row>
    <row r="12" ht="20" customHeight="1">
      <c r="A12" s="21" t="inlineStr">
        <is>
          <t>Less: Term Loan Interest Expenses</t>
        </is>
      </c>
      <c r="B12" s="7" t="n">
        <v>0</v>
      </c>
      <c r="C12" s="7">
        <f>Repayment!$J$6</f>
        <v/>
      </c>
      <c r="D12" s="7">
        <f>Repayment!$J$7</f>
        <v/>
      </c>
      <c r="E12" s="7">
        <f>Repayment!$J$8</f>
        <v/>
      </c>
      <c r="F12" s="7">
        <f>Repayment!$J$9</f>
        <v/>
      </c>
      <c r="G12" s="7">
        <f>Repayment!$J$10</f>
        <v/>
      </c>
    </row>
    <row r="13" ht="20" customHeight="1">
      <c r="A13" s="21" t="inlineStr">
        <is>
          <t>Less: Cash Credit Interest Expenses</t>
        </is>
      </c>
      <c r="B13" s="7" t="n">
        <v>0</v>
      </c>
      <c r="C13" s="7">
        <f>'Balance Sheet'!C12*Assumptions!$B$19</f>
        <v/>
      </c>
      <c r="D13" s="7">
        <f>'Balance Sheet'!D12*Assumptions!$B$19</f>
        <v/>
      </c>
      <c r="E13" s="7">
        <f>'Balance Sheet'!E12*Assumptions!$B$19</f>
        <v/>
      </c>
      <c r="F13" s="7">
        <f>'Balance Sheet'!F12*Assumptions!$B$19</f>
        <v/>
      </c>
      <c r="G13" s="7">
        <f>'Balance Sheet'!G12*Assumptions!$B$19</f>
        <v/>
      </c>
    </row>
    <row r="14" ht="20" customHeight="1">
      <c r="A14" s="5" t="inlineStr">
        <is>
          <t>Total Interest Expenses</t>
        </is>
      </c>
      <c r="B14" s="13">
        <f>B12+B13</f>
        <v/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</row>
    <row r="15" ht="20" customHeight="1">
      <c r="A15" s="5" t="inlineStr">
        <is>
          <t>Profit Before Taxes (PBT)</t>
        </is>
      </c>
      <c r="B15" s="13">
        <f>B11-B14</f>
        <v/>
      </c>
      <c r="C15" s="13">
        <f>C11-C14</f>
        <v/>
      </c>
      <c r="D15" s="13">
        <f>D11-D14</f>
        <v/>
      </c>
      <c r="E15" s="13">
        <f>E11-E14</f>
        <v/>
      </c>
      <c r="F15" s="13">
        <f>F11-F14</f>
        <v/>
      </c>
      <c r="G15" s="13">
        <f>G11-G14</f>
        <v/>
      </c>
    </row>
    <row r="16" ht="20" customHeight="1">
      <c r="A16" s="21" t="inlineStr">
        <is>
          <t>Less: Tax Provision</t>
        </is>
      </c>
      <c r="B16" s="7" t="n">
        <v>0</v>
      </c>
      <c r="C16" s="7">
        <f>IF(C15&gt;0,C15*Assumptions!$B$22,0)</f>
        <v/>
      </c>
      <c r="D16" s="7">
        <f>IF(D15&gt;0,D15*Assumptions!$B$22,0)</f>
        <v/>
      </c>
      <c r="E16" s="7">
        <f>IF(E15&gt;0,E15*Assumptions!$B$22,0)</f>
        <v/>
      </c>
      <c r="F16" s="7">
        <f>IF(F15&gt;0,F15*Assumptions!$B$22,0)</f>
        <v/>
      </c>
      <c r="G16" s="7">
        <f>IF(G15&gt;0,G15*Assumptions!$B$22,0)</f>
        <v/>
      </c>
    </row>
    <row r="17" ht="20" customHeight="1">
      <c r="A17" s="22" t="inlineStr">
        <is>
          <t>Net Profit After Tax (PAT)</t>
        </is>
      </c>
      <c r="B17" s="23">
        <f>B15-B16</f>
        <v/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WORKING CAPITAL Gap &amp; MPBF ASSESSMENT</t>
        </is>
      </c>
    </row>
    <row r="2" ht="18" customHeight="1">
      <c r="A2" s="2" t="inlineStr">
        <is>
          <t>Tandon Committee (Second Method) Calculations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21" t="inlineStr">
        <is>
          <t>Current Assets (CA) for Assessment</t>
        </is>
      </c>
      <c r="B5" s="7">
        <f>'Balance Sheet'!C20+'Balance Sheet'!C21+'Balance Sheet'!C23+Assumptions!$B$38</f>
        <v/>
      </c>
      <c r="C5" s="7">
        <f>'Balance Sheet'!D20+'Balance Sheet'!D21+'Balance Sheet'!D23+Assumptions!$B$38</f>
        <v/>
      </c>
      <c r="D5" s="7">
        <f>'Balance Sheet'!E20+'Balance Sheet'!E21+'Balance Sheet'!E23+Assumptions!$B$38</f>
        <v/>
      </c>
      <c r="E5" s="7">
        <f>'Balance Sheet'!F20+'Balance Sheet'!F21+'Balance Sheet'!F23+Assumptions!$B$38</f>
        <v/>
      </c>
      <c r="F5" s="7">
        <f>'Balance Sheet'!G20+'Balance Sheet'!G21+'Balance Sheet'!G23+Assumptions!$B$38</f>
        <v/>
      </c>
    </row>
    <row r="6" ht="20" customHeight="1">
      <c r="A6" s="21" t="inlineStr">
        <is>
          <t>Less: Current Liabilities (excluding bank borrowings)</t>
        </is>
      </c>
      <c r="B6" s="7">
        <f>'Balance Sheet'!C13+'Balance Sheet'!C14</f>
        <v/>
      </c>
      <c r="C6" s="7">
        <f>'Balance Sheet'!D13+'Balance Sheet'!D14</f>
        <v/>
      </c>
      <c r="D6" s="7">
        <f>'Balance Sheet'!E13+'Balance Sheet'!E14</f>
        <v/>
      </c>
      <c r="E6" s="7">
        <f>'Balance Sheet'!F13+'Balance Sheet'!F14</f>
        <v/>
      </c>
      <c r="F6" s="7">
        <f>'Balance Sheet'!G13+'Balance Sheet'!G14</f>
        <v/>
      </c>
    </row>
    <row r="7" ht="20" customHeight="1">
      <c r="A7" s="20" t="inlineStr">
        <is>
          <t>Working Capital Gap (WCG)</t>
        </is>
      </c>
      <c r="B7" s="17">
        <f>B4-B5</f>
        <v/>
      </c>
      <c r="C7" s="17">
        <f>C4-C5</f>
        <v/>
      </c>
      <c r="D7" s="17">
        <f>D4-D5</f>
        <v/>
      </c>
      <c r="E7" s="17">
        <f>E4-E5</f>
        <v/>
      </c>
      <c r="F7" s="17">
        <f>F4-F5</f>
        <v/>
      </c>
    </row>
    <row r="8" ht="20" customHeight="1">
      <c r="A8" s="20" t="inlineStr">
        <is>
          <t>Promoter Margin / Min Net Working Capital (25% of CA)</t>
        </is>
      </c>
      <c r="B8" s="17">
        <f>0.25*B4</f>
        <v/>
      </c>
      <c r="C8" s="17">
        <f>0.25*C4</f>
        <v/>
      </c>
      <c r="D8" s="17">
        <f>0.25*D4</f>
        <v/>
      </c>
      <c r="E8" s="17">
        <f>0.25*E4</f>
        <v/>
      </c>
      <c r="F8" s="17">
        <f>0.25*F4</f>
        <v/>
      </c>
    </row>
    <row r="9" ht="20" customHeight="1">
      <c r="A9" s="22" t="inlineStr">
        <is>
          <t>Max Permissible Bank Finance (MPBF) = WCG - Margin</t>
        </is>
      </c>
      <c r="B9" s="23">
        <f>MAX(0,B6-B7)</f>
        <v/>
      </c>
      <c r="C9" s="23">
        <f>MAX(0,C6-C7)</f>
        <v/>
      </c>
      <c r="D9" s="23">
        <f>MAX(0,D6-D7)</f>
        <v/>
      </c>
      <c r="E9" s="23">
        <f>MAX(0,E6-E7)</f>
        <v/>
      </c>
      <c r="F9" s="23">
        <f>MAX(0,F6-F7)</f>
        <v/>
      </c>
    </row>
    <row r="10" ht="20" customHeight="1">
      <c r="A10" s="21" t="inlineStr">
        <is>
          <t>Actual Net Working Capital (NWC) = CA - Total CL</t>
        </is>
      </c>
      <c r="B10" s="7">
        <f>B4-('Balance Sheet'!C12+'Balance Sheet'!C13+'Balance Sheet'!C14)</f>
        <v/>
      </c>
      <c r="C10" s="7">
        <f>C4-('Balance Sheet'!D12+'Balance Sheet'!D13+'Balance Sheet'!D14)</f>
        <v/>
      </c>
      <c r="D10" s="7">
        <f>D4-('Balance Sheet'!E12+'Balance Sheet'!E13+'Balance Sheet'!E14)</f>
        <v/>
      </c>
      <c r="E10" s="7">
        <f>E4-('Balance Sheet'!F12+'Balance Sheet'!F13+'Balance Sheet'!F14)</f>
        <v/>
      </c>
      <c r="F10" s="7">
        <f>F4-('Balance Sheet'!G12+'Balance Sheet'!G13+'Balance Sheet'!G14)</f>
        <v/>
      </c>
    </row>
    <row r="11" ht="20" customHeight="1">
      <c r="A11" s="20" t="inlineStr">
        <is>
          <t>Cash Credit Finance Required (Assumed)</t>
        </is>
      </c>
      <c r="B11" s="17">
        <f>MIN(Assumptions!$B$17,B9)</f>
        <v/>
      </c>
      <c r="C11" s="17">
        <f>MIN(Assumptions!$B$17,C9)</f>
        <v/>
      </c>
      <c r="D11" s="17">
        <f>MIN(Assumptions!$B$17,D9)</f>
        <v/>
      </c>
      <c r="E11" s="17">
        <f>MIN(Assumptions!$B$17,E9)</f>
        <v/>
      </c>
      <c r="F11" s="17">
        <f>MIN(Assumptions!$B$17,F9)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PROJECTED BALANCE SHEET (₹)</t>
        </is>
      </c>
    </row>
    <row r="2" ht="18" customHeight="1">
      <c r="A2" s="2" t="inlineStr">
        <is>
          <t>5-Year Capital Structure and Financial Position Statement</t>
        </is>
      </c>
    </row>
    <row r="3"/>
    <row r="4" ht="24" customHeight="1">
      <c r="A4" s="4" t="inlineStr">
        <is>
          <t>Particulars</t>
        </is>
      </c>
      <c r="B4" s="4" t="inlineStr">
        <is>
          <t>Base Year (Y0)</t>
        </is>
      </c>
      <c r="C4" s="4" t="inlineStr">
        <is>
          <t>Year 1 (Y1)</t>
        </is>
      </c>
      <c r="D4" s="4" t="inlineStr">
        <is>
          <t>Year 2 (Y2)</t>
        </is>
      </c>
      <c r="E4" s="4" t="inlineStr">
        <is>
          <t>Year 3 (Y3)</t>
        </is>
      </c>
      <c r="F4" s="4" t="inlineStr">
        <is>
          <t>Year 4 (Y4)</t>
        </is>
      </c>
      <c r="G4" s="4" t="inlineStr">
        <is>
          <t>Year 5 (Y5)</t>
        </is>
      </c>
    </row>
    <row r="5" ht="20" customHeight="1">
      <c r="A5" s="5" t="inlineStr">
        <is>
          <t>EQUITY AND LIABILITIES</t>
        </is>
      </c>
      <c r="B5" s="24" t="n"/>
      <c r="C5" s="24" t="n"/>
      <c r="D5" s="24" t="n"/>
      <c r="E5" s="24" t="n"/>
      <c r="F5" s="24" t="n"/>
      <c r="G5" s="24" t="n"/>
    </row>
    <row r="6" ht="20" customHeight="1">
      <c r="A6" s="5" t="inlineStr">
        <is>
          <t>1. Shareholders' Funds</t>
        </is>
      </c>
      <c r="B6" s="24" t="n"/>
      <c r="C6" s="24" t="n"/>
      <c r="D6" s="24" t="n"/>
      <c r="E6" s="24" t="n"/>
      <c r="F6" s="24" t="n"/>
      <c r="G6" s="24" t="n"/>
    </row>
    <row r="7" ht="20" customHeight="1">
      <c r="A7" s="21" t="inlineStr">
        <is>
          <t xml:space="preserve">  - Share Capital</t>
        </is>
      </c>
      <c r="B7" s="7">
        <f>Assumptions!$B$37</f>
        <v/>
      </c>
      <c r="C7" s="7">
        <f>B7</f>
        <v/>
      </c>
      <c r="D7" s="7">
        <f>C7</f>
        <v/>
      </c>
      <c r="E7" s="7">
        <f>D7</f>
        <v/>
      </c>
      <c r="F7" s="7">
        <f>E7</f>
        <v/>
      </c>
      <c r="G7" s="7">
        <f>F7</f>
        <v/>
      </c>
    </row>
    <row r="8" ht="20" customHeight="1">
      <c r="A8" s="21" t="inlineStr">
        <is>
          <t xml:space="preserve">  - Reserves &amp; Surplus (Retained Profit)</t>
        </is>
      </c>
      <c r="B8" s="7" t="n">
        <v>3500000</v>
      </c>
      <c r="C8" s="7">
        <f>B8+'Projected P&amp;L'!C17</f>
        <v/>
      </c>
      <c r="D8" s="7">
        <f>C8+'Projected P&amp;L'!D17</f>
        <v/>
      </c>
      <c r="E8" s="7">
        <f>D8+'Projected P&amp;L'!E17</f>
        <v/>
      </c>
      <c r="F8" s="7">
        <f>E8+'Projected P&amp;L'!F17</f>
        <v/>
      </c>
      <c r="G8" s="7">
        <f>F8+'Projected P&amp;L'!G17</f>
        <v/>
      </c>
    </row>
    <row r="9" ht="20" customHeight="1">
      <c r="A9" s="5" t="inlineStr">
        <is>
          <t>2. Non-Current Liabilities</t>
        </is>
      </c>
      <c r="B9" s="24" t="n"/>
      <c r="C9" s="24" t="n"/>
      <c r="D9" s="24" t="n"/>
      <c r="E9" s="24" t="n"/>
      <c r="F9" s="24" t="n"/>
      <c r="G9" s="24" t="n"/>
    </row>
    <row r="10" ht="20" customHeight="1">
      <c r="A10" s="21" t="inlineStr">
        <is>
          <t xml:space="preserve">  - Long-Term Borrowings (Term Loan)</t>
        </is>
      </c>
      <c r="B10" s="7" t="n">
        <v>0</v>
      </c>
      <c r="C10" s="7">
        <f>Repayment!$M$6</f>
        <v/>
      </c>
      <c r="D10" s="7">
        <f>Repayment!$M$7</f>
        <v/>
      </c>
      <c r="E10" s="7">
        <f>Repayment!$M$8</f>
        <v/>
      </c>
      <c r="F10" s="7">
        <f>Repayment!$M$9</f>
        <v/>
      </c>
      <c r="G10" s="7">
        <f>Repayment!$M$10</f>
        <v/>
      </c>
    </row>
    <row r="11" ht="20" customHeight="1">
      <c r="A11" s="5" t="inlineStr">
        <is>
          <t>3. Current Liabilities</t>
        </is>
      </c>
      <c r="B11" s="24" t="n"/>
      <c r="C11" s="24" t="n"/>
      <c r="D11" s="24" t="n"/>
      <c r="E11" s="24" t="n"/>
      <c r="F11" s="24" t="n"/>
      <c r="G11" s="24" t="n"/>
    </row>
    <row r="12" ht="20" customHeight="1">
      <c r="A12" s="21" t="inlineStr">
        <is>
          <t xml:space="preserve">  - Short-Term Borrowings (Cash Credit)</t>
        </is>
      </c>
      <c r="B12" s="7" t="n">
        <v>0</v>
      </c>
      <c r="C12" s="7">
        <f>'MPBF'!B11</f>
        <v/>
      </c>
      <c r="D12" s="7">
        <f>'MPBF'!C11</f>
        <v/>
      </c>
      <c r="E12" s="7">
        <f>'MPBF'!D11</f>
        <v/>
      </c>
      <c r="F12" s="7">
        <f>'MPBF'!E11</f>
        <v/>
      </c>
      <c r="G12" s="7">
        <f>'MPBF'!F11</f>
        <v/>
      </c>
    </row>
    <row r="13" ht="20" customHeight="1">
      <c r="A13" s="21" t="inlineStr">
        <is>
          <t xml:space="preserve">  - Sundry Creditors (Trade Payables)</t>
        </is>
      </c>
      <c r="B13" s="7" t="n">
        <v>3500000</v>
      </c>
      <c r="C13" s="7">
        <f>'Projected P&amp;L'!C7*0.082</f>
        <v/>
      </c>
      <c r="D13" s="7">
        <f>'Projected P&amp;L'!D7*0.082</f>
        <v/>
      </c>
      <c r="E13" s="7">
        <f>'Projected P&amp;L'!E7*0.082</f>
        <v/>
      </c>
      <c r="F13" s="7">
        <f>'Projected P&amp;L'!F7*0.082</f>
        <v/>
      </c>
      <c r="G13" s="7">
        <f>'Projected P&amp;L'!G7*0.082</f>
        <v/>
      </c>
    </row>
    <row r="14" ht="20" customHeight="1">
      <c r="A14" s="21" t="inlineStr">
        <is>
          <t xml:space="preserve">  - Other Current Liabilities</t>
        </is>
      </c>
      <c r="B14" s="7" t="n">
        <v>1500000</v>
      </c>
      <c r="C14" s="7">
        <f>B13*1.05</f>
        <v/>
      </c>
      <c r="D14" s="7">
        <f>C13*1.05</f>
        <v/>
      </c>
      <c r="E14" s="7">
        <f>D13*1.05</f>
        <v/>
      </c>
      <c r="F14" s="7">
        <f>E13*1.05</f>
        <v/>
      </c>
      <c r="G14" s="7">
        <f>F13*1.05</f>
        <v/>
      </c>
    </row>
    <row r="15" ht="20" customHeight="1">
      <c r="A15" s="22" t="inlineStr">
        <is>
          <t>TOTAL EQUITY &amp; LIABILITIES</t>
        </is>
      </c>
      <c r="B15" s="23">
        <f>B7+B8+B10+B12+B13+B14</f>
        <v/>
      </c>
      <c r="C15" s="23">
        <f>C7+C8+C10+C12+C13+C14</f>
        <v/>
      </c>
      <c r="D15" s="23">
        <f>D7+D8+D10+D12+D13+D14</f>
        <v/>
      </c>
      <c r="E15" s="23">
        <f>E7+E8+E10+E12+E13+E14</f>
        <v/>
      </c>
      <c r="F15" s="23">
        <f>F7+F8+F10+F12+F13+F14</f>
        <v/>
      </c>
      <c r="G15" s="23">
        <f>G7+G8+G10+G12+G13+G14</f>
        <v/>
      </c>
    </row>
    <row r="16" ht="20" customHeight="1">
      <c r="A16" s="5" t="inlineStr">
        <is>
          <t>ASSETS</t>
        </is>
      </c>
      <c r="B16" s="24" t="n"/>
      <c r="C16" s="24" t="n"/>
      <c r="D16" s="24" t="n"/>
      <c r="E16" s="24" t="n"/>
      <c r="F16" s="24" t="n"/>
      <c r="G16" s="24" t="n"/>
    </row>
    <row r="17" ht="20" customHeight="1">
      <c r="A17" s="5" t="inlineStr">
        <is>
          <t>1. Non-Current Assets</t>
        </is>
      </c>
      <c r="B17" s="24" t="n"/>
      <c r="C17" s="24" t="n"/>
      <c r="D17" s="24" t="n"/>
      <c r="E17" s="24" t="n"/>
      <c r="F17" s="24" t="n"/>
      <c r="G17" s="24" t="n"/>
    </row>
    <row r="18" ht="20" customHeight="1">
      <c r="A18" s="21" t="inlineStr">
        <is>
          <t xml:space="preserve">  - Fixed Assets (Net Block)</t>
        </is>
      </c>
      <c r="B18" s="7" t="n">
        <v>41000000</v>
      </c>
      <c r="C18" s="7">
        <f>Depreciation!G41</f>
        <v/>
      </c>
      <c r="D18" s="7">
        <f>Depreciation!G42</f>
        <v/>
      </c>
      <c r="E18" s="7">
        <f>Depreciation!G43</f>
        <v/>
      </c>
      <c r="F18" s="7">
        <f>Depreciation!G44</f>
        <v/>
      </c>
      <c r="G18" s="7">
        <f>Depreciation!G45</f>
        <v/>
      </c>
    </row>
    <row r="19" ht="20" customHeight="1">
      <c r="A19" s="5" t="inlineStr">
        <is>
          <t>2. Current Assets</t>
        </is>
      </c>
      <c r="B19" s="24" t="n"/>
      <c r="C19" s="24" t="n"/>
      <c r="D19" s="24" t="n"/>
      <c r="E19" s="24" t="n"/>
      <c r="F19" s="24" t="n"/>
      <c r="G19" s="24" t="n"/>
    </row>
    <row r="20" ht="20" customHeight="1">
      <c r="A20" s="21" t="inlineStr">
        <is>
          <t xml:space="preserve">  - Inventories (Stock)</t>
        </is>
      </c>
      <c r="B20" s="7" t="n">
        <v>11000000</v>
      </c>
      <c r="C20" s="7">
        <f>'Projected P&amp;L'!C7*0.22</f>
        <v/>
      </c>
      <c r="D20" s="7">
        <f>'Projected P&amp;L'!D7*0.22</f>
        <v/>
      </c>
      <c r="E20" s="7">
        <f>'Projected P&amp;L'!E7*0.22</f>
        <v/>
      </c>
      <c r="F20" s="7">
        <f>'Projected P&amp;L'!F7*0.22</f>
        <v/>
      </c>
      <c r="G20" s="7">
        <f>'Projected P&amp;L'!G7*0.22</f>
        <v/>
      </c>
    </row>
    <row r="21" ht="20" customHeight="1">
      <c r="A21" s="21" t="inlineStr">
        <is>
          <t xml:space="preserve">  - Trade Receivables (Debtors)</t>
        </is>
      </c>
      <c r="B21" s="7" t="n">
        <v>10000000</v>
      </c>
      <c r="C21" s="7">
        <f>'Projected P&amp;L'!C6*0.16</f>
        <v/>
      </c>
      <c r="D21" s="7">
        <f>'Projected P&amp;L'!D6*0.16</f>
        <v/>
      </c>
      <c r="E21" s="7">
        <f>'Projected P&amp;L'!E6*0.16</f>
        <v/>
      </c>
      <c r="F21" s="7">
        <f>'Projected P&amp;L'!F6*0.16</f>
        <v/>
      </c>
      <c r="G21" s="7">
        <f>'Projected P&amp;L'!G6*0.16</f>
        <v/>
      </c>
    </row>
    <row r="22" ht="20" customHeight="1">
      <c r="A22" s="21" t="inlineStr">
        <is>
          <t xml:space="preserve">  - Cash &amp; Bank Balances</t>
        </is>
      </c>
      <c r="B22" s="7">
        <f>Assumptions!$B$38</f>
        <v/>
      </c>
      <c r="C22" s="7">
        <f>'Cash Flow'!B23</f>
        <v/>
      </c>
      <c r="D22" s="7">
        <f>'Cash Flow'!C23</f>
        <v/>
      </c>
      <c r="E22" s="7">
        <f>'Cash Flow'!D23</f>
        <v/>
      </c>
      <c r="F22" s="7">
        <f>'Cash Flow'!E23</f>
        <v/>
      </c>
      <c r="G22" s="7">
        <f>'Cash Flow'!F23</f>
        <v/>
      </c>
    </row>
    <row r="23" ht="20" customHeight="1">
      <c r="A23" s="21" t="inlineStr">
        <is>
          <t xml:space="preserve">  - Other Current Assets</t>
        </is>
      </c>
      <c r="B23" s="7" t="n">
        <v>1000000</v>
      </c>
      <c r="C23" s="7">
        <f>B22*1.03</f>
        <v/>
      </c>
      <c r="D23" s="7">
        <f>C22*1.03</f>
        <v/>
      </c>
      <c r="E23" s="7">
        <f>D22*1.03</f>
        <v/>
      </c>
      <c r="F23" s="7">
        <f>E22*1.03</f>
        <v/>
      </c>
      <c r="G23" s="7">
        <f>F22*1.03</f>
        <v/>
      </c>
    </row>
    <row r="24" ht="20" customHeight="1">
      <c r="A24" s="22" t="inlineStr">
        <is>
          <t>TOTAL ASSETS</t>
        </is>
      </c>
      <c r="B24" s="23">
        <f>B18+B20+B21+B22+B23</f>
        <v/>
      </c>
      <c r="C24" s="23">
        <f>C18+C20+C21+C22+C23</f>
        <v/>
      </c>
      <c r="D24" s="23">
        <f>D18+D20+D21+D22+D23</f>
        <v/>
      </c>
      <c r="E24" s="23">
        <f>E18+E20+E21+E22+E23</f>
        <v/>
      </c>
      <c r="F24" s="23">
        <f>F18+F20+F21+F22+F23</f>
        <v/>
      </c>
      <c r="G24" s="23">
        <f>G18+G20+G21+G22+G23</f>
        <v/>
      </c>
    </row>
    <row r="25" ht="20" customHeight="1">
      <c r="A25" s="25" t="inlineStr">
        <is>
          <t>Balance Sheet Audit Check (Diff)</t>
        </is>
      </c>
      <c r="B25" s="26">
        <f>B24-B15</f>
        <v/>
      </c>
      <c r="C25" s="26">
        <f>C24-C15</f>
        <v/>
      </c>
      <c r="D25" s="26">
        <f>D24-D15</f>
        <v/>
      </c>
      <c r="E25" s="26">
        <f>E24-E15</f>
        <v/>
      </c>
      <c r="F25" s="26">
        <f>F24-F15</f>
        <v/>
      </c>
      <c r="G25" s="26">
        <f>G24-G15</f>
        <v/>
      </c>
    </row>
  </sheetData>
  <mergeCells count="7">
    <mergeCell ref="A17:G17"/>
    <mergeCell ref="A9:G9"/>
    <mergeCell ref="A6:G6"/>
    <mergeCell ref="A16:G16"/>
    <mergeCell ref="A19:G19"/>
    <mergeCell ref="A11:G1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PROJECTED CASH FLOW STATEMENT (₹)</t>
        </is>
      </c>
    </row>
    <row r="2" ht="18" customHeight="1">
      <c r="A2" s="2" t="inlineStr">
        <is>
          <t>Sources and Applications of Capital Funds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A. SOURCES OF FUNDS</t>
        </is>
      </c>
      <c r="B5" s="24" t="n"/>
      <c r="C5" s="24" t="n"/>
      <c r="D5" s="24" t="n"/>
      <c r="E5" s="24" t="n"/>
      <c r="F5" s="24" t="n"/>
    </row>
    <row r="6" ht="20" customHeight="1">
      <c r="A6" s="21" t="inlineStr">
        <is>
          <t xml:space="preserve">  - Profit After Tax (PAT)</t>
        </is>
      </c>
      <c r="B6" s="7">
        <f>'Projected P&amp;L'!C17</f>
        <v/>
      </c>
      <c r="C6" s="7">
        <f>'Projected P&amp;L'!D17</f>
        <v/>
      </c>
      <c r="D6" s="7">
        <f>'Projected P&amp;L'!E17</f>
        <v/>
      </c>
      <c r="E6" s="7">
        <f>'Projected P&amp;L'!F17</f>
        <v/>
      </c>
      <c r="F6" s="7">
        <f>'Projected P&amp;L'!G17</f>
        <v/>
      </c>
    </row>
    <row r="7" ht="20" customHeight="1">
      <c r="A7" s="21" t="inlineStr">
        <is>
          <t xml:space="preserve">  - Add: Depreciation &amp; Amortization</t>
        </is>
      </c>
      <c r="B7" s="7">
        <f>'Projected P&amp;L'!C10</f>
        <v/>
      </c>
      <c r="C7" s="7">
        <f>'Projected P&amp;L'!D10</f>
        <v/>
      </c>
      <c r="D7" s="7">
        <f>'Projected P&amp;L'!E10</f>
        <v/>
      </c>
      <c r="E7" s="7">
        <f>'Projected P&amp;L'!F10</f>
        <v/>
      </c>
      <c r="F7" s="7">
        <f>'Projected P&amp;L'!G10</f>
        <v/>
      </c>
    </row>
    <row r="8" ht="20" customHeight="1">
      <c r="A8" s="21" t="inlineStr">
        <is>
          <t xml:space="preserve">  - Term Loan Disbursement</t>
        </is>
      </c>
      <c r="B8" s="7">
        <f>Assumptions!$B$16</f>
        <v/>
      </c>
      <c r="C8" s="7" t="n">
        <v>0</v>
      </c>
      <c r="D8" s="7" t="n">
        <v>0</v>
      </c>
      <c r="E8" s="7" t="n">
        <v>0</v>
      </c>
      <c r="F8" s="7" t="n">
        <v>0</v>
      </c>
    </row>
    <row r="9" ht="20" customHeight="1">
      <c r="A9" s="21" t="inlineStr">
        <is>
          <t xml:space="preserve">  - CC Borrowing Increase</t>
        </is>
      </c>
      <c r="B9" s="7">
        <f>'Balance Sheet'!C12-'Balance Sheet'!B12</f>
        <v/>
      </c>
      <c r="C9" s="7">
        <f>'Balance Sheet'!D12-'Balance Sheet'!C12</f>
        <v/>
      </c>
      <c r="D9" s="7">
        <f>'Balance Sheet'!E12-'Balance Sheet'!D12</f>
        <v/>
      </c>
      <c r="E9" s="7">
        <f>'Balance Sheet'!F12-'Balance Sheet'!E12</f>
        <v/>
      </c>
      <c r="F9" s="7">
        <f>'Balance Sheet'!G12-'Balance Sheet'!F12</f>
        <v/>
      </c>
    </row>
    <row r="10" ht="20" customHeight="1">
      <c r="A10" s="21" t="inlineStr">
        <is>
          <t xml:space="preserve">  - Increase in Sundry Creditors</t>
        </is>
      </c>
      <c r="B10" s="7">
        <f>MAX(0,'Balance Sheet'!C13-'Balance Sheet'!B13)</f>
        <v/>
      </c>
      <c r="C10" s="7">
        <f>MAX(0,'Balance Sheet'!D13-'Balance Sheet'!C13)</f>
        <v/>
      </c>
      <c r="D10" s="7">
        <f>MAX(0,'Balance Sheet'!E13-'Balance Sheet'!B13)</f>
        <v/>
      </c>
      <c r="E10" s="7">
        <f>MAX(0,'Balance Sheet'!F13-'Balance Sheet'!E13)</f>
        <v/>
      </c>
      <c r="F10" s="7">
        <f>MAX(0,'Balance Sheet'!G13-'Balance Sheet'!F13)</f>
        <v/>
      </c>
    </row>
    <row r="11" ht="20" customHeight="1">
      <c r="A11" s="21" t="inlineStr">
        <is>
          <t xml:space="preserve">  - Increase in Other Current Liabilities</t>
        </is>
      </c>
      <c r="B11" s="7">
        <f>MAX(0,'Balance Sheet'!C14-'Balance Sheet'!B14)</f>
        <v/>
      </c>
      <c r="C11" s="7">
        <f>MAX(0,'Balance Sheet'!D14-'Balance Sheet'!C14)</f>
        <v/>
      </c>
      <c r="D11" s="7">
        <f>MAX(0,'Balance Sheet'!E14-'Balance Sheet'!D14)</f>
        <v/>
      </c>
      <c r="E11" s="7">
        <f>MAX(0,'Balance Sheet'!F14-'Balance Sheet'!E14)</f>
        <v/>
      </c>
      <c r="F11" s="7">
        <f>MAX(0,'Balance Sheet'!G14-'Balance Sheet'!F14)</f>
        <v/>
      </c>
    </row>
    <row r="12" ht="20" customHeight="1">
      <c r="A12" s="20" t="inlineStr">
        <is>
          <t>TOTAL SOURCES OF FUNDS (A)</t>
        </is>
      </c>
      <c r="B12" s="17">
        <f>SUM(B6:B11)</f>
        <v/>
      </c>
      <c r="C12" s="17">
        <f>SUM(C6:C11)</f>
        <v/>
      </c>
      <c r="D12" s="17">
        <f>SUM(D6:D11)</f>
        <v/>
      </c>
      <c r="E12" s="17">
        <f>SUM(E6:E11)</f>
        <v/>
      </c>
      <c r="F12" s="17">
        <f>SUM(F6:F11)</f>
        <v/>
      </c>
    </row>
    <row r="13" ht="20" customHeight="1">
      <c r="A13" s="5" t="inlineStr">
        <is>
          <t>B. APPLICATIONS OF FUNDS</t>
        </is>
      </c>
      <c r="B13" s="24" t="n"/>
      <c r="C13" s="24" t="n"/>
      <c r="D13" s="24" t="n"/>
      <c r="E13" s="24" t="n"/>
      <c r="F13" s="24" t="n"/>
    </row>
    <row r="14" ht="20" customHeight="1">
      <c r="A14" s="21" t="inlineStr">
        <is>
          <t xml:space="preserve">  - Capital Expenditures (Capex)</t>
        </is>
      </c>
      <c r="B14" s="7">
        <f>Depreciation!C41</f>
        <v/>
      </c>
      <c r="C14" s="7">
        <f>Depreciation!C42</f>
        <v/>
      </c>
      <c r="D14" s="7">
        <f>Depreciation!C43</f>
        <v/>
      </c>
      <c r="E14" s="7">
        <f>Depreciation!C44</f>
        <v/>
      </c>
      <c r="F14" s="7">
        <f>Depreciation!C45</f>
        <v/>
      </c>
    </row>
    <row r="15" ht="20" customHeight="1">
      <c r="A15" s="21" t="inlineStr">
        <is>
          <t xml:space="preserve">  - Repayment of Term Loan Principal</t>
        </is>
      </c>
      <c r="B15" s="7">
        <f>Repayment!K6</f>
        <v/>
      </c>
      <c r="C15" s="7">
        <f>Repayment!K7</f>
        <v/>
      </c>
      <c r="D15" s="7">
        <f>Repayment!K8</f>
        <v/>
      </c>
      <c r="E15" s="7">
        <f>Repayment!K9</f>
        <v/>
      </c>
      <c r="F15" s="7">
        <f>Repayment!K10</f>
        <v/>
      </c>
    </row>
    <row r="16" ht="20" customHeight="1">
      <c r="A16" s="21" t="inlineStr">
        <is>
          <t xml:space="preserve">  - Increase in Inventories (Working Cap)</t>
        </is>
      </c>
      <c r="B16" s="7">
        <f>MAX(0,'Balance Sheet'!C20-'Balance Sheet'!B20)</f>
        <v/>
      </c>
      <c r="C16" s="7">
        <f>MAX(0,'Balance Sheet'!D20-'Balance Sheet'!C20)</f>
        <v/>
      </c>
      <c r="D16" s="7">
        <f>MAX(0,'Balance Sheet'!E20-'Balance Sheet'!D20)</f>
        <v/>
      </c>
      <c r="E16" s="7">
        <f>MAX(0,'Balance Sheet'!F20-'Balance Sheet'!E20)</f>
        <v/>
      </c>
      <c r="F16" s="7">
        <f>MAX(0,'Balance Sheet'!G20-'Balance Sheet'!F20)</f>
        <v/>
      </c>
    </row>
    <row r="17" ht="20" customHeight="1">
      <c r="A17" s="21" t="inlineStr">
        <is>
          <t xml:space="preserve">  - Increase in Trade Receivables</t>
        </is>
      </c>
      <c r="B17" s="7">
        <f>MAX(0,'Balance Sheet'!C21-'Balance Sheet'!B21)</f>
        <v/>
      </c>
      <c r="C17" s="7">
        <f>MAX(0,'Balance Sheet'!D21-'Balance Sheet'!C21)</f>
        <v/>
      </c>
      <c r="D17" s="7">
        <f>MAX(0,'Balance Sheet'!E21-'Balance Sheet'!D21)</f>
        <v/>
      </c>
      <c r="E17" s="7">
        <f>MAX(0,'Balance Sheet'!F21-'Balance Sheet'!E21)</f>
        <v/>
      </c>
      <c r="F17" s="7">
        <f>MAX(0,'Balance Sheet'!G21-'Balance Sheet'!F21)</f>
        <v/>
      </c>
    </row>
    <row r="18" ht="20" customHeight="1">
      <c r="A18" s="21" t="inlineStr">
        <is>
          <t xml:space="preserve">  - Decrease in Sundry Creditors</t>
        </is>
      </c>
      <c r="B18" s="7">
        <f>MAX(0,'Balance Sheet'!B13-'Balance Sheet'!C13)</f>
        <v/>
      </c>
      <c r="C18" s="7">
        <f>MAX(0,'Balance Sheet'!C13-'Balance Sheet'!D13)</f>
        <v/>
      </c>
      <c r="D18" s="7">
        <f>MAX(0,'Balance Sheet'!D13-'Balance Sheet'!E13)</f>
        <v/>
      </c>
      <c r="E18" s="7">
        <f>MAX(0,'Balance Sheet'!E13-'Balance Sheet'!F13)</f>
        <v/>
      </c>
      <c r="F18" s="7">
        <f>MAX(0,'Balance Sheet'!F13-'Balance Sheet'!G13)</f>
        <v/>
      </c>
    </row>
    <row r="19" ht="20" customHeight="1">
      <c r="A19" s="21" t="inlineStr">
        <is>
          <t xml:space="preserve">  - Decrease in Other Current Liabilities</t>
        </is>
      </c>
      <c r="B19" s="7">
        <f>MAX(0,'Balance Sheet'!B14-'Balance Sheet'!C14)</f>
        <v/>
      </c>
      <c r="C19" s="7">
        <f>MAX(0,'Balance Sheet'!C14-'Balance Sheet'!D14)</f>
        <v/>
      </c>
      <c r="D19" s="7">
        <f>MAX(0,'Balance Sheet'!D14-'Balance Sheet'!E14)</f>
        <v/>
      </c>
      <c r="E19" s="7">
        <f>MAX(0,'Balance Sheet'!E14-'Balance Sheet'!F14)</f>
        <v/>
      </c>
      <c r="F19" s="7">
        <f>MAX(0,'Balance Sheet'!F14-'Balance Sheet'!G14)</f>
        <v/>
      </c>
    </row>
    <row r="20" ht="20" customHeight="1">
      <c r="A20" s="20" t="inlineStr">
        <is>
          <t>TOTAL APPLICATIONS OF FUNDS (B)</t>
        </is>
      </c>
      <c r="B20" s="17">
        <f>SUM(B14:B19)</f>
        <v/>
      </c>
      <c r="C20" s="17">
        <f>SUM(C14:C19)</f>
        <v/>
      </c>
      <c r="D20" s="17">
        <f>SUM(D14:D19)</f>
        <v/>
      </c>
      <c r="E20" s="17">
        <f>SUM(E14:E19)</f>
        <v/>
      </c>
      <c r="F20" s="17">
        <f>SUM(F14:F19)</f>
        <v/>
      </c>
    </row>
    <row r="21" ht="20" customHeight="1">
      <c r="A21" s="20" t="inlineStr">
        <is>
          <t>C. NET CASH FLOW (A - B)</t>
        </is>
      </c>
      <c r="B21" s="17">
        <f>B12-B20</f>
        <v/>
      </c>
      <c r="C21" s="17">
        <f>C12-C20</f>
        <v/>
      </c>
      <c r="D21" s="17">
        <f>D12-D20</f>
        <v/>
      </c>
      <c r="E21" s="17">
        <f>E12-E20</f>
        <v/>
      </c>
      <c r="F21" s="17">
        <f>F12-F20</f>
        <v/>
      </c>
    </row>
    <row r="22" ht="20" customHeight="1">
      <c r="A22" s="20" t="inlineStr">
        <is>
          <t>Opening Cash &amp; Bank Balance</t>
        </is>
      </c>
      <c r="B22" s="17">
        <f>Assumptions!$B$38</f>
        <v/>
      </c>
      <c r="C22" s="17">
        <f>B23</f>
        <v/>
      </c>
      <c r="D22" s="17">
        <f>C23</f>
        <v/>
      </c>
      <c r="E22" s="17">
        <f>D23</f>
        <v/>
      </c>
      <c r="F22" s="17">
        <f>E23</f>
        <v/>
      </c>
    </row>
    <row r="23" ht="20" customHeight="1">
      <c r="A23" s="22" t="inlineStr">
        <is>
          <t>Closing Cash &amp; Bank Balance</t>
        </is>
      </c>
      <c r="B23" s="23">
        <f>B21+B22</f>
        <v/>
      </c>
      <c r="C23" s="23">
        <f>C21+C22</f>
        <v/>
      </c>
      <c r="D23" s="23">
        <f>D21+D22</f>
        <v/>
      </c>
      <c r="E23" s="23">
        <f>E21+E22</f>
        <v/>
      </c>
      <c r="F23" s="23">
        <f>F21+F22</f>
        <v/>
      </c>
    </row>
  </sheetData>
  <mergeCells count="2">
    <mergeCell ref="A13:F13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CASH CREDIT DRAWING POWER STATEMENT</t>
        </is>
      </c>
    </row>
    <row r="2" ht="18" customHeight="1">
      <c r="A2" s="2" t="inlineStr">
        <is>
          <t>Stipulated Banking Margins against Paid-up Stocks and Eligible Receivables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21" t="inlineStr">
        <is>
          <t>Total Inventories (Stock)</t>
        </is>
      </c>
      <c r="B5" s="7">
        <f>'Balance Sheet'!C20</f>
        <v/>
      </c>
      <c r="C5" s="7">
        <f>'Balance Sheet'!D20</f>
        <v/>
      </c>
      <c r="D5" s="7">
        <f>'Balance Sheet'!E20</f>
        <v/>
      </c>
      <c r="E5" s="7">
        <f>'Balance Sheet'!F20</f>
        <v/>
      </c>
      <c r="F5" s="7">
        <f>'Balance Sheet'!G20</f>
        <v/>
      </c>
    </row>
    <row r="6" ht="20" customHeight="1">
      <c r="A6" s="21" t="inlineStr">
        <is>
          <t>Less: Sundry Creditors for RM</t>
        </is>
      </c>
      <c r="B6" s="7">
        <f>'Balance Sheet'!C13</f>
        <v/>
      </c>
      <c r="C6" s="7">
        <f>'Balance Sheet'!D13</f>
        <v/>
      </c>
      <c r="D6" s="7">
        <f>'Balance Sheet'!E13</f>
        <v/>
      </c>
      <c r="E6" s="7">
        <f>'Balance Sheet'!F13</f>
        <v/>
      </c>
      <c r="F6" s="7">
        <f>'Balance Sheet'!G13</f>
        <v/>
      </c>
    </row>
    <row r="7" ht="20" customHeight="1">
      <c r="A7" s="20" t="inlineStr">
        <is>
          <t>Paid-up Stock (A)</t>
        </is>
      </c>
      <c r="B7" s="17">
        <f>B5-B6</f>
        <v/>
      </c>
      <c r="C7" s="17">
        <f>C5-C6</f>
        <v/>
      </c>
      <c r="D7" s="17">
        <f>D5-D6</f>
        <v/>
      </c>
      <c r="E7" s="17">
        <f>E5-E6</f>
        <v/>
      </c>
      <c r="F7" s="17">
        <f>F5-F6</f>
        <v/>
      </c>
    </row>
    <row r="8" ht="20" customHeight="1">
      <c r="A8" s="21" t="inlineStr">
        <is>
          <t>Less: Stipulated Margin on Stock (Assumptions!B23)</t>
        </is>
      </c>
      <c r="B8" s="7">
        <f>B7*Assumptions!$B$23</f>
        <v/>
      </c>
      <c r="C8" s="7">
        <f>C7*Assumptions!$B$23</f>
        <v/>
      </c>
      <c r="D8" s="7">
        <f>D7*Assumptions!$B$23</f>
        <v/>
      </c>
      <c r="E8" s="7">
        <f>E7*Assumptions!$B$23</f>
        <v/>
      </c>
      <c r="F8" s="7">
        <f>F7*Assumptions!$B$23</f>
        <v/>
      </c>
    </row>
    <row r="9" ht="20" customHeight="1">
      <c r="A9" s="20" t="inlineStr">
        <is>
          <t>Drawing Power on Inventory (B)</t>
        </is>
      </c>
      <c r="B9" s="17">
        <f>B7-B8</f>
        <v/>
      </c>
      <c r="C9" s="17">
        <f>C7-C8</f>
        <v/>
      </c>
      <c r="D9" s="17">
        <f>D7-D8</f>
        <v/>
      </c>
      <c r="E9" s="17">
        <f>E7-E8</f>
        <v/>
      </c>
      <c r="F9" s="17">
        <f>F7-F8</f>
        <v/>
      </c>
    </row>
    <row r="10" ht="20" customHeight="1">
      <c r="A10" s="21" t="inlineStr">
        <is>
          <t>Total Debtors (Receivables)</t>
        </is>
      </c>
      <c r="B10" s="7">
        <f>'Balance Sheet'!C21</f>
        <v/>
      </c>
      <c r="C10" s="7">
        <f>'Balance Sheet'!D21</f>
        <v/>
      </c>
      <c r="D10" s="7">
        <f>'Balance Sheet'!E21</f>
        <v/>
      </c>
      <c r="E10" s="7">
        <f>'Balance Sheet'!F21</f>
        <v/>
      </c>
      <c r="F10" s="7">
        <f>'Balance Sheet'!G21</f>
        <v/>
      </c>
    </row>
    <row r="11" ht="20" customHeight="1">
      <c r="A11" s="21" t="inlineStr">
        <is>
          <t>Eligible Receivables (&lt; 90 Days) (C)</t>
        </is>
      </c>
      <c r="B11" s="7">
        <f>B10*0.85</f>
        <v/>
      </c>
      <c r="C11" s="7">
        <f>C10*0.85</f>
        <v/>
      </c>
      <c r="D11" s="7">
        <f>D10*0.85</f>
        <v/>
      </c>
      <c r="E11" s="7">
        <f>E10*0.85</f>
        <v/>
      </c>
      <c r="F11" s="7">
        <f>F10*0.85</f>
        <v/>
      </c>
    </row>
    <row r="12" ht="20" customHeight="1">
      <c r="A12" s="21" t="inlineStr">
        <is>
          <t>Less: Stipulated Margin on Debtors (Assumptions!B24)</t>
        </is>
      </c>
      <c r="B12" s="7">
        <f>B11*Assumptions!$B$24</f>
        <v/>
      </c>
      <c r="C12" s="7">
        <f>C11*Assumptions!$B$24</f>
        <v/>
      </c>
      <c r="D12" s="7">
        <f>D11*Assumptions!$B$24</f>
        <v/>
      </c>
      <c r="E12" s="7">
        <f>E11*Assumptions!$B$24</f>
        <v/>
      </c>
      <c r="F12" s="7">
        <f>F11*Assumptions!$B$24</f>
        <v/>
      </c>
    </row>
    <row r="13" ht="20" customHeight="1">
      <c r="A13" s="20" t="inlineStr">
        <is>
          <t>Drawing Power on Debtors (D)</t>
        </is>
      </c>
      <c r="B13" s="17">
        <f>B11-B12</f>
        <v/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</row>
    <row r="14" ht="20" customHeight="1">
      <c r="A14" s="22" t="inlineStr">
        <is>
          <t>Total Drawing Power (DP) = B + D</t>
        </is>
      </c>
      <c r="B14" s="23">
        <f>B9+B13</f>
        <v/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</row>
    <row r="15" ht="20" customHeight="1">
      <c r="A15" s="21" t="inlineStr">
        <is>
          <t>CC Sanctioned Limit</t>
        </is>
      </c>
      <c r="B15" s="7">
        <f>Assumptions!$B$17</f>
        <v/>
      </c>
      <c r="C15" s="7">
        <f>Assumptions!$B$17</f>
        <v/>
      </c>
      <c r="D15" s="7">
        <f>Assumptions!$B$17</f>
        <v/>
      </c>
      <c r="E15" s="7">
        <f>Assumptions!$B$17</f>
        <v/>
      </c>
      <c r="F15" s="7">
        <f>Assumptions!$B$17</f>
        <v/>
      </c>
    </row>
    <row r="16" ht="20" customHeight="1">
      <c r="A16" s="22" t="inlineStr">
        <is>
          <t>Effective Allowed Bank CC Borrowing</t>
        </is>
      </c>
      <c r="B16" s="23">
        <f>MIN(B14,B15)</f>
        <v/>
      </c>
      <c r="C16" s="23">
        <f>MIN(C14,C15)</f>
        <v/>
      </c>
      <c r="D16" s="23">
        <f>MIN(D14,D15)</f>
        <v/>
      </c>
      <c r="E16" s="23">
        <f>MIN(E14,E15)</f>
        <v/>
      </c>
      <c r="F16" s="23">
        <f>MIN(F14,F15)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67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FINANCIAL ANALYSIS DASHBOARD</t>
        </is>
      </c>
    </row>
    <row r="2" ht="18" customHeight="1">
      <c r="A2" s="2" t="inlineStr">
        <is>
          <t>Key Leverage, Profitability &amp; Repayment Ratios</t>
        </is>
      </c>
    </row>
    <row r="3"/>
    <row r="4" ht="24" customHeight="1">
      <c r="A4" s="4" t="inlineStr">
        <is>
          <t>Key Ratio / Indicator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Current Ratio (CA / CL)</t>
        </is>
      </c>
      <c r="B5" s="27">
        <f>('Balance Sheet'!C20+'Balance Sheet'!C21+'Balance Sheet'!C22+'Balance Sheet'!C23)/('Balance Sheet'!C11+'Balance Sheet'!C12+'Balance Sheet'!C13+'Balance Sheet'!C14)</f>
        <v/>
      </c>
      <c r="C5" s="27">
        <f>('Balance Sheet'!D20+'Balance Sheet'!D21+'Balance Sheet'!D22+'Balance Sheet'!D23)/('Balance Sheet'!D11+'Balance Sheet'!D12+'Balance Sheet'!D13+'Balance Sheet'!D14)</f>
        <v/>
      </c>
      <c r="D5" s="27">
        <f>('Balance Sheet'!E20+'Balance Sheet'!E21+'Balance Sheet'!E22+'Balance Sheet'!E23)/('Balance Sheet'!E11+'Balance Sheet'!E12+'Balance Sheet'!E13+'Balance Sheet'!E14)</f>
        <v/>
      </c>
      <c r="E5" s="27">
        <f>('Balance Sheet'!F20+'Balance Sheet'!F21+'Balance Sheet'!F22+'Balance Sheet'!F23)/('Balance Sheet'!F11+'Balance Sheet'!F12+'Balance Sheet'!F13+'Balance Sheet'!F14)</f>
        <v/>
      </c>
      <c r="F5" s="27">
        <f>('Balance Sheet'!G20+'Balance Sheet'!G21+'Balance Sheet'!G22+'Balance Sheet'!G23)/('Balance Sheet'!G11+'Balance Sheet'!G12+'Balance Sheet'!G13+'Balance Sheet'!G14)</f>
        <v/>
      </c>
    </row>
    <row r="6" ht="20" customHeight="1">
      <c r="A6" s="5" t="inlineStr">
        <is>
          <t>Quick Ratio (Quick Assets / CL)</t>
        </is>
      </c>
      <c r="B6" s="27">
        <f>('Balance Sheet'!C21+'Balance Sheet'!C22+'Balance Sheet'!C23)/('Balance Sheet'!C11+'Balance Sheet'!C12+'Balance Sheet'!C13+'Balance Sheet'!C14)</f>
        <v/>
      </c>
      <c r="C6" s="27">
        <f>('Balance Sheet'!D21+'Balance Sheet'!D22+'Balance Sheet'!D23)/('Balance Sheet'!D11+'Balance Sheet'!D12+'Balance Sheet'!D13+'Balance Sheet'!D14)</f>
        <v/>
      </c>
      <c r="D6" s="27">
        <f>('Balance Sheet'!E21+'Balance Sheet'!E22+'Balance Sheet'!E23)/('Balance Sheet'!E11+'Balance Sheet'!E12+'Balance Sheet'!E13+'Balance Sheet'!E14)</f>
        <v/>
      </c>
      <c r="E6" s="27">
        <f>('Balance Sheet'!F21+'Balance Sheet'!F22+'Balance Sheet'!F23)/('Balance Sheet'!F11+'Balance Sheet'!F12+'Balance Sheet'!F13+'Balance Sheet'!F14)</f>
        <v/>
      </c>
      <c r="F6" s="27">
        <f>('Balance Sheet'!G21+'Balance Sheet'!G22+'Balance Sheet'!G23)/('Balance Sheet'!G11+'Balance Sheet'!G12+'Balance Sheet'!G13+'Balance Sheet'!G14)</f>
        <v/>
      </c>
    </row>
    <row r="7" ht="20" customHeight="1">
      <c r="A7" s="5" t="inlineStr">
        <is>
          <t>Debt-Equity Ratio (Total Debt / Equity)</t>
        </is>
      </c>
      <c r="B7" s="27">
        <f>('Balance Sheet'!C10+'Balance Sheet'!C12)/('Balance Sheet'!C7+'Balance Sheet'!C8)</f>
        <v/>
      </c>
      <c r="C7" s="27">
        <f>('Balance Sheet'!D10+'Balance Sheet'!D12)/('Balance Sheet'!D7+'Balance Sheet'!D8)</f>
        <v/>
      </c>
      <c r="D7" s="27">
        <f>('Balance Sheet'!E10+'Balance Sheet'!E12)/('Balance Sheet'!E7+'Balance Sheet'!E8)</f>
        <v/>
      </c>
      <c r="E7" s="27">
        <f>('Balance Sheet'!F10+'Balance Sheet'!F12)/('Balance Sheet'!F7+'Balance Sheet'!F8)</f>
        <v/>
      </c>
      <c r="F7" s="27">
        <f>('Balance Sheet'!G10+'Balance Sheet'!G12)/('Balance Sheet'!G7+'Balance Sheet'!G8)</f>
        <v/>
      </c>
    </row>
    <row r="8" ht="20" customHeight="1">
      <c r="A8" s="5" t="inlineStr">
        <is>
          <t>Debt Service Coverage Ratio (DSCR)</t>
        </is>
      </c>
      <c r="B8" s="27">
        <f>IF((Repayment!$K$6+'Projected P&amp;L'!C12)&gt;0,('Projected P&amp;L'!C17+'Projected P&amp;L'!C10+'Projected P&amp;L'!C12)/(Repayment!$K$6+'Projected P&amp;L'!C12),0)</f>
        <v/>
      </c>
      <c r="C8" s="27">
        <f>IF((Repayment!$K$7+'Projected P&amp;L'!D12)&gt;0,('Projected P&amp;L'!D17+'Projected P&amp;L'!D10+'Projected P&amp;L'!D12)/(Repayment!$K$7+'Projected P&amp;L'!D12),0)</f>
        <v/>
      </c>
      <c r="D8" s="27">
        <f>IF((Repayment!$K$8+'Projected P&amp;L'!E12)&gt;0,('Projected P&amp;L'!E17+'Projected P&amp;L'!E10+'Projected P&amp;L'!E12)/(Repayment!$K$8+'Projected P&amp;L'!E12),0)</f>
        <v/>
      </c>
      <c r="E8" s="27">
        <f>IF((Repayment!$K$9+'Projected P&amp;L'!F12)&gt;0,('Projected P&amp;L'!F17+'Projected P&amp;L'!F10+'Projected P&amp;L'!F12)/(Repayment!$K$9+'Projected P&amp;L'!F12),0)</f>
        <v/>
      </c>
      <c r="F8" s="27">
        <f>IF((Repayment!$K$10+'Projected P&amp;L'!G12)&gt;0,('Projected P&amp;L'!G17+'Projected P&amp;L'!G10+'Projected P&amp;L'!G12)/(Repayment!$K$10+'Projected P&amp;L'!G12),0)</f>
        <v/>
      </c>
    </row>
    <row r="9" ht="20" customHeight="1">
      <c r="A9" s="5" t="inlineStr">
        <is>
          <t>Interest Coverage Ratio (ISCR)</t>
        </is>
      </c>
      <c r="B9" s="27">
        <f>IF('Projected P&amp;L'!C14&gt;0,'Projected P&amp;L'!C11/'Projected P&amp;L'!C14,0)</f>
        <v/>
      </c>
      <c r="C9" s="27">
        <f>IF('Projected P&amp;L'!D14&gt;0,'Projected P&amp;L'!D11/'Projected P&amp;L'!D14,0)</f>
        <v/>
      </c>
      <c r="D9" s="27">
        <f>IF('Projected P&amp;L'!E14&gt;0,'Projected P&amp;L'!E11/'Projected P&amp;L'!E14,0)</f>
        <v/>
      </c>
      <c r="E9" s="27">
        <f>IF('Projected P&amp;L'!F14&gt;0,'Projected P&amp;L'!F11/'Projected P&amp;L'!F14,0)</f>
        <v/>
      </c>
      <c r="F9" s="27">
        <f>IF('Projected P&amp;L'!G14&gt;0,'Projected P&amp;L'!G11/'Projected P&amp;L'!G14,0)</f>
        <v/>
      </c>
    </row>
    <row r="10" ht="20" customHeight="1">
      <c r="A10" s="5" t="inlineStr">
        <is>
          <t>Gross Profit Margin %</t>
        </is>
      </c>
      <c r="B10" s="19">
        <f>'Projected P&amp;L'!C9/'Projected P&amp;L'!C6</f>
        <v/>
      </c>
      <c r="C10" s="19">
        <f>'Projected P&amp;L'!D9/'Projected P&amp;L'!D6</f>
        <v/>
      </c>
      <c r="D10" s="19">
        <f>'Projected P&amp;L'!E9/'Projected P&amp;L'!E6</f>
        <v/>
      </c>
      <c r="E10" s="19">
        <f>'Projected P&amp;L'!F9/'Projected P&amp;L'!F6</f>
        <v/>
      </c>
      <c r="F10" s="19">
        <f>'Projected P&amp;L'!G9/'Projected P&amp;L'!G6</f>
        <v/>
      </c>
    </row>
    <row r="11" ht="20" customHeight="1">
      <c r="A11" s="5" t="inlineStr">
        <is>
          <t>Net Profit Margin %</t>
        </is>
      </c>
      <c r="B11" s="19">
        <f>'Projected P&amp;L'!C17/'Projected P&amp;L'!C6</f>
        <v/>
      </c>
      <c r="C11" s="19">
        <f>'Projected P&amp;L'!D17/'Projected P&amp;L'!D6</f>
        <v/>
      </c>
      <c r="D11" s="19">
        <f>'Projected P&amp;L'!E17/'Projected P&amp;L'!E6</f>
        <v/>
      </c>
      <c r="E11" s="19">
        <f>'Projected P&amp;L'!F17/'Projected P&amp;L'!F6</f>
        <v/>
      </c>
      <c r="F11" s="19">
        <f>'Projected P&amp;L'!G17/'Projected P&amp;L'!G6</f>
        <v/>
      </c>
    </row>
    <row r="12"/>
    <row r="13"/>
    <row r="14">
      <c r="A14" s="3" t="inlineStr">
        <is>
          <t>RISK ASSESSMENT &amp; BANKING REPRICING EVALUATIONS</t>
        </is>
      </c>
    </row>
    <row r="15" ht="24" customHeight="1">
      <c r="A15" s="4" t="inlineStr">
        <is>
          <t>Evaluation Area</t>
        </is>
      </c>
      <c r="B15" s="4" t="inlineStr">
        <is>
          <t>Risk Assessment / Dynamic Recommendation Triggered from Formulas</t>
        </is>
      </c>
      <c r="C15" s="28" t="n"/>
      <c r="D15" s="28" t="n"/>
      <c r="E15" s="28" t="n"/>
      <c r="F15" s="29" t="n"/>
    </row>
    <row r="16" ht="36" customHeight="1">
      <c r="A16" s="5" t="inlineStr">
        <is>
          <t>Liquidity Benchmark Check</t>
        </is>
      </c>
      <c r="B16" s="30">
        <f>IF(B5&gt;=1.33,"LOW RISK: Current Ratio is " &amp; TEXT(B5,"0.00") &amp; " which meets the Tandon committee requirement of 1.33. Working capital liquidity is satisfactory.","HIGH RISK: Current Ratio is " &amp; TEXT(B5,"0.00") &amp; " which is below 1.33. Bank may review stock levels and promoter margin inflow.")</f>
        <v/>
      </c>
      <c r="C16" s="24" t="n"/>
      <c r="D16" s="24" t="n"/>
      <c r="E16" s="24" t="n"/>
      <c r="F16" s="24" t="n"/>
    </row>
    <row r="17" ht="36" customHeight="1">
      <c r="A17" s="5" t="inlineStr">
        <is>
          <t>Debt Repayment Capacity</t>
        </is>
      </c>
      <c r="B17" s="30">
        <f>IF(B8&gt;=1.5,"STRONG COVENANT: The projected DSCR of " &amp; TEXT(B8,"0.00") &amp; " indicates robust repayment buffer. Comfortable servicing debt.","BORDERLINE CREDIT: Projected DSCR is " &amp; TEXT(B8,"0.00") &amp; ". Review repayment duration or add escrow lockup clauses.")</f>
        <v/>
      </c>
      <c r="C17" s="24" t="n"/>
      <c r="D17" s="24" t="n"/>
      <c r="E17" s="24" t="n"/>
      <c r="F17" s="24" t="n"/>
    </row>
    <row r="18" ht="36" customHeight="1">
      <c r="A18" s="5" t="inlineStr">
        <is>
          <t>MPBF Eligibility Check</t>
        </is>
      </c>
      <c r="B18" s="30">
        <f>IF('MPBF'!B8&gt;0,"COMPLIANT: Max Permissible Bank Finance (MPBF) supports the required cash credit borrowing. Promoter NWC is satisfactory.","DEFICIENT: WCG is negative or promoter margin exceeds working capital gap. Additional equity contribution required.")</f>
        <v/>
      </c>
      <c r="C18" s="24" t="n"/>
      <c r="D18" s="24" t="n"/>
      <c r="E18" s="24" t="n"/>
      <c r="F18" s="24" t="n"/>
    </row>
    <row r="19" ht="36" customHeight="1">
      <c r="A19" s="20" t="inlineStr">
        <is>
          <t>Term Sanction Decision</t>
        </is>
      </c>
      <c r="B19" s="31">
        <f>IF(AND(B8&gt;=1.4,B5&gt;=1.2),"RECOMMENDED SANCTION: Financial projections show acceptable liquidity and repayment comfort. Sanction Term Loan and CC.","RE-EVALUATE: High credit risk due to weak liquidity (Current Ratio &lt; 1.20) or tight debt service capacity (DSCR &lt; 1.40). Review security collateral.")</f>
        <v/>
      </c>
      <c r="C19" s="32" t="n"/>
      <c r="D19" s="32" t="n"/>
      <c r="E19" s="32" t="n"/>
      <c r="F19" s="32" t="n"/>
    </row>
  </sheetData>
  <mergeCells count="5">
    <mergeCell ref="B16:F16"/>
    <mergeCell ref="B15:F15"/>
    <mergeCell ref="B19:F19"/>
    <mergeCell ref="B17:F17"/>
    <mergeCell ref="B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2026-06-17T10:58:41Z</dcterms:created>
  <dcterms:modified xsi:type="dcterms:W3CDTF">2026-06-17T10:58:41Z</dcterms:modified>
</cp:coreProperties>
</file>