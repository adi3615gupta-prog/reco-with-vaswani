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Executive Summary" sheetId="2" r:id="rId2"/>
    <sheet name="Monthly Tax Comparison" sheetId="3" r:id="rId3"/>
    <sheet name="Monthly Tax Comparison FY" sheetId="4" r:id="rId4"/>
    <sheet name="Partywise Monthly Working" sheetId="5" r:id="rId5"/>
    <sheet name="Partywise Mismatch Invoices" sheetId="6" r:id="rId6"/>
    <sheet name="Party Mismatch Breakdown" sheetId="7" r:id="rId7"/>
    <sheet name="April_Diff" sheetId="8" r:id="rId8"/>
    <sheet name="May_Diff" sheetId="9" r:id="rId9"/>
    <sheet name="June_Diff" sheetId="10" r:id="rId10"/>
    <sheet name="July_Diff" sheetId="11" r:id="rId11"/>
    <sheet name="August_Diff" sheetId="12" r:id="rId12"/>
    <sheet name="September_Diff" sheetId="13" r:id="rId13"/>
    <sheet name="October_Diff" sheetId="14" r:id="rId14"/>
    <sheet name="November_Diff" sheetId="15" r:id="rId15"/>
    <sheet name="December_Diff" sheetId="16" r:id="rId16"/>
    <sheet name="January_Diff" sheetId="17" r:id="rId17"/>
    <sheet name="February_Diff" sheetId="18" r:id="rId18"/>
    <sheet name="March_Diff" sheetId="19" r:id="rId19"/>
    <sheet name="3B vs 2B vs Books" sheetId="20" r:id="rId20"/>
    <sheet name="Timing Reconciliation" sheetId="21" r:id="rId21"/>
    <sheet name="📖 Methodology &amp; Legend" sheetId="22" r:id="rId22"/>
  </sheets>
  <definedNames>
    <definedName name="_xlnm._FilterDatabase" localSheetId="4">'Partywise Monthly Working'!A3:Q8</definedName>
    <definedName name="_xlnm._FilterDatabase" localSheetId="5">'Partywise Mismatch Invoices'!A3:T6</definedName>
    <definedName name="_xlnm._FilterDatabase" localSheetId="6">'Party Mismatch Breakdown'!A3:T8</definedName>
    <definedName name="_xlnm._FilterDatabase" localSheetId="7">'April_Diff'!A3:W5</definedName>
    <definedName name="_xlnm._FilterDatabase" localSheetId="8">'May_Diff'!A3:W5</definedName>
    <definedName name="_xlnm._FilterDatabase" localSheetId="9">'June_Diff'!A3:W4</definedName>
    <definedName name="_xlnm._FilterDatabase" localSheetId="10">'July_Diff'!A3:W4</definedName>
    <definedName name="_xlnm._FilterDatabase" localSheetId="11">'August_Diff'!A3:W4</definedName>
    <definedName name="_xlnm._FilterDatabase" localSheetId="12">'September_Diff'!A3:W4</definedName>
    <definedName name="_xlnm._FilterDatabase" localSheetId="13">'October_Diff'!A3:W4</definedName>
    <definedName name="_xlnm._FilterDatabase" localSheetId="14">'November_Diff'!A3:W4</definedName>
    <definedName name="_xlnm._FilterDatabase" localSheetId="15">'December_Diff'!A3:W4</definedName>
    <definedName name="_xlnm._FilterDatabase" localSheetId="16">'January_Diff'!A3:W4</definedName>
    <definedName name="_xlnm._FilterDatabase" localSheetId="17">'February_Diff'!A3:W4</definedName>
    <definedName name="_xlnm._FilterDatabase" localSheetId="18">'March_Diff'!A3:W4</definedName>
    <definedName name="_xlnm._FilterDatabase" localSheetId="20">'Timing Reconciliation'!A3:S4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6">
    <numFmt numFmtId="165" formatCode="_(* #,##0.00_);[Red]_(* (#,##0.00);_(* &quot;-&quot;??_);_(@_)"/>
    <numFmt numFmtId="166" formatCode="_(* #,##0.00_);[Red]_(* (#,##0.00);_(* &quot;-&quot;??_);_(@_)"/>
    <numFmt numFmtId="167" formatCode="_(* #,##0.00_);[Red]_(* (#,##0.00);_(* &quot;-&quot;??_);_(@_)"/>
    <numFmt numFmtId="168" formatCode="_(* #,##0.00_);[Red]_(* (#,##0.00);_(* &quot;-&quot;??_);_(@_)"/>
    <numFmt numFmtId="169" formatCode="_(* #,##0.00_);[Red]_(* (#,##0.00);_(* &quot;-&quot;??_);_(@_)"/>
    <numFmt numFmtId="170" formatCode="_(* #,##0.00_);[Red]_(* (#,##0.00);_(* &quot;-&quot;??_);_(@_)"/>
    <numFmt numFmtId="171" formatCode="_(* #,##0.00_);[Red]_(* (#,##0.00);_(* &quot;-&quot;??_);_(@_)"/>
    <numFmt numFmtId="172" formatCode="_(* #,##0.00_);[Red]_(* (#,##0.00);_(* &quot;-&quot;??_);_(@_)"/>
    <numFmt numFmtId="173" formatCode="_(* #,##0.00_);[Red]_(* (#,##0.00);_(* &quot;-&quot;??_);_(@_)"/>
    <numFmt numFmtId="174" formatCode="_(* #,##0.00_);[Red]_(* (#,##0.00);_(* &quot;-&quot;??_);_(@_)"/>
    <numFmt numFmtId="175" formatCode="_(* #,##0.00_);[Red]_(* (#,##0.00);_(* &quot;-&quot;??_);_(@_)"/>
    <numFmt numFmtId="176" formatCode="_(* #,##0.00_);[Red]_(* (#,##0.00);_(* &quot;-&quot;??_);_(@_)"/>
    <numFmt numFmtId="177" formatCode="_(* #,##0.00_);[Red]_(* (#,##0.00);_(* &quot;-&quot;??_);_(@_)"/>
    <numFmt numFmtId="178" formatCode="_(* #,##0.00_);[Red]_(* (#,##0.00);_(* &quot;-&quot;??_);_(@_)"/>
    <numFmt numFmtId="179" formatCode="_(* #,##0.00_);[Red]_(* (#,##0.00);_(* &quot;-&quot;??_);_(@_)"/>
    <numFmt numFmtId="180" formatCode="_(* #,##0.00_);[Red]_(* (#,##0.00);_(* &quot;-&quot;??_);_(@_)"/>
  </numFmts>
  <fonts count="97" x14ac:knownFonts="1">
    <font>
      <sz val="11"/>
      <name val="Calibri"/>
    </font>
    <font>
      <sz val="11"/>
      <name val="Calibri"/>
    </font>
    <font>
      <sz val="12"/>
      <name val="Segoe UI"/>
      <b/>
      <color rgb="93C5FD"/>
    </font>
    <font>
      <sz val="24"/>
      <name val="Segoe UI"/>
      <b/>
      <color rgb="FFFFFF"/>
    </font>
    <font>
      <sz val="11"/>
      <name val="Segoe UI"/>
      <b/>
      <color rgb="F1F5F9"/>
    </font>
    <font>
      <sz val="10"/>
      <name val="Segoe UI"/>
      <color rgb="CBD5E1"/>
    </font>
    <font>
      <sz val="12"/>
      <name val="Segoe UI"/>
      <b/>
      <color rgb="1E3A8A"/>
    </font>
    <font>
      <sz val="10"/>
      <name val="Segoe UI"/>
      <b/>
      <color rgb="475569"/>
    </font>
    <font>
      <sz val="11"/>
      <name val="Segoe UI"/>
      <b/>
      <color rgb="0F172A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0F172A"/>
    </font>
    <font>
      <sz val="10"/>
      <name val="Segoe UI"/>
      <color rgb="475569"/>
    </font>
    <font>
      <sz val="9"/>
      <name val="Segoe UI"/>
      <b/>
      <color rgb="FFFFFF"/>
    </font>
    <font>
      <sz val="10"/>
      <name val="Segoe UI"/>
      <b/>
      <color rgb="0F172A"/>
    </font>
    <font>
      <sz val="10"/>
      <name val="Segoe UI"/>
      <color rgb="475569"/>
    </font>
    <font>
      <sz val="13"/>
      <name val="Calibri"/>
      <b/>
      <color rgb="F8FAFC"/>
    </font>
    <font>
      <sz val="9"/>
      <name val="Calibri"/>
      <i/>
      <color rgb="94A3B8"/>
    </font>
    <font>
      <sz val="10"/>
      <name val="Calibri"/>
      <b/>
      <color rgb="FFFFFF"/>
    </font>
    <font>
      <sz val="9"/>
      <name val="Calibri"/>
      <color rgb="1F2937"/>
    </font>
    <font>
      <sz val="9"/>
      <name val="Calibri"/>
      <b/>
      <color rgb="1F2937"/>
    </font>
    <font>
      <sz val="9"/>
      <name val="Calibri"/>
      <color rgb="1F2937"/>
    </font>
    <font>
      <sz val="9"/>
      <name val="Calibri"/>
      <b/>
      <color rgb="1F2937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</font>
    <font>
      <sz val="9"/>
      <name val="Calibri"/>
    </font>
    <font>
      <sz val="9"/>
      <name val="Calibri"/>
      <b/>
    </font>
    <font>
      <sz val="9"/>
      <name val="Calibri"/>
    </font>
    <font>
      <sz val="9"/>
      <name val="Calibri"/>
      <b/>
    </font>
    <font>
      <sz val="9"/>
      <name val="Calibri"/>
      <b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b/>
      <color rgb="FFFFFF"/>
    </font>
    <font>
      <sz val="9"/>
      <name val="Calibri"/>
    </font>
    <font>
      <sz val="8"/>
      <name val="Calibri"/>
      <i/>
      <color rgb="374151"/>
    </font>
    <font>
      <sz val="8"/>
      <name val="Calibri"/>
      <i/>
      <color rgb="374151"/>
    </font>
    <font>
      <sz val="9"/>
      <name val="Calibri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color rgb="1E293B"/>
    </font>
    <font>
      <sz val="9"/>
      <name val="Calibri"/>
      <b/>
      <color rgb="1E293B"/>
    </font>
    <font>
      <sz val="9"/>
      <name val="Calibri"/>
      <color rgb="1E293B"/>
    </font>
    <font>
      <sz val="9"/>
      <name val="Calibri"/>
      <color rgb="1E293B"/>
    </font>
    <font>
      <sz val="9"/>
      <name val="Calibri"/>
      <b/>
      <color rgb="DC2626"/>
    </font>
    <font>
      <sz val="9"/>
      <name val="Calibri"/>
      <color rgb="1E293B"/>
    </font>
    <font>
      <sz val="9"/>
      <name val="Calibri"/>
      <b/>
      <color rgb="B45309"/>
    </font>
    <font>
      <sz val="9"/>
      <name val="Calibri"/>
      <b/>
      <color rgb="DC2626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9F1239"/>
    </font>
    <font>
      <sz val="9"/>
      <name val="Calibri"/>
      <color rgb="1E293B"/>
    </font>
    <font>
      <sz val="9"/>
      <name val="Calibri"/>
      <b/>
      <color rgb="DC2626"/>
    </font>
    <font>
      <sz val="9"/>
      <name val="Calibri"/>
      <b/>
      <color rgb="9A3412"/>
    </font>
    <font>
      <sz val="9"/>
      <name val="Calibri"/>
      <color rgb="1E293B"/>
    </font>
    <font>
      <sz val="9"/>
      <name val="Calibri"/>
      <b/>
      <color rgb="DC2626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FFFFFF"/>
    </font>
    <font>
      <sz val="9.5"/>
      <name val="Calibri"/>
      <b/>
    </font>
    <font>
      <sz val="9.5"/>
      <name val="Calibri"/>
    </font>
    <font>
      <sz val="9.5"/>
      <name val="Calibri"/>
      <b/>
    </font>
    <font>
      <sz val="9.5"/>
      <name val="Calibri"/>
    </font>
    <font>
      <sz val="9.5"/>
      <name val="Calibri"/>
      <color rgb="DC2626"/>
    </font>
    <font>
      <sz val="9.5"/>
      <name val="Calibri"/>
      <b/>
    </font>
    <font>
      <sz val="9.5"/>
      <name val="Calibri"/>
      <b/>
    </font>
    <font>
      <sz val="9.5"/>
      <name val="Calibri"/>
      <b/>
      <color rgb="DC2626"/>
    </font>
    <font>
      <sz val="12"/>
      <name val="Segoe UI"/>
      <b/>
      <color rgb="1E3A8A"/>
    </font>
    <font>
      <sz val="10"/>
      <name val="Segoe UI"/>
      <i/>
      <color rgb="475569"/>
    </font>
    <font>
      <sz val="10"/>
      <name val="Segoe UI"/>
      <color rgb="1F2937"/>
    </font>
    <font>
      <sz val="10"/>
      <name val="Segoe UI"/>
      <b/>
      <color rgb="FFFFFF"/>
    </font>
    <font>
      <sz val="10"/>
      <name val="Segoe UI"/>
      <b/>
      <color rgb="1F2937"/>
    </font>
    <font>
      <sz val="10"/>
      <name val="Segoe UI"/>
      <b/>
      <color rgb="1F2937"/>
    </font>
    <font>
      <sz val="10"/>
      <name val="Segoe UI"/>
      <color rgb="1F2937"/>
    </font>
    <font>
      <sz val="10"/>
      <name val="Segoe UI"/>
      <b/>
      <color rgb="1F2937"/>
    </font>
    <font>
      <sz val="10"/>
      <name val="Segoe UI"/>
      <b/>
      <color rgb="1F2937"/>
    </font>
    <font>
      <sz val="10"/>
      <name val="Segoe UI"/>
      <b/>
      <color rgb="1F2937"/>
    </font>
    <font>
      <sz val="10"/>
      <name val="Segoe UI"/>
      <b/>
      <color rgb="1F2937"/>
    </font>
    <font>
      <sz val="10"/>
      <name val="Segoe UI"/>
      <b/>
      <color rgb="1F2937"/>
    </font>
  </fonts>
  <fills count="9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0F172A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0F172A"/>
        <bgColor/>
      </patternFill>
    </fill>
    <fill>
      <patternFill patternType="solid">
        <fgColor rgb="FF0F17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2563EB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0F172A"/>
        <bgColor/>
      </patternFill>
    </fill>
    <fill>
      <patternFill patternType="solid">
        <fgColor rgb="FF1E293B"/>
        <bgColor/>
      </patternFill>
    </fill>
    <fill>
      <patternFill patternType="solid">
        <fgColor rgb="FF0F17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0F172A"/>
        <bgColor/>
      </patternFill>
    </fill>
    <fill>
      <patternFill patternType="solid">
        <fgColor rgb="FF1E293B"/>
        <bgColor/>
      </patternFill>
    </fill>
    <fill>
      <patternFill patternType="solid">
        <fgColor rgb="FF3B82F6"/>
        <bgColor/>
      </patternFill>
    </fill>
    <fill>
      <patternFill patternType="solid">
        <fgColor rgb="FF1E293B"/>
        <bgColor/>
      </patternFill>
    </fill>
    <fill>
      <patternFill patternType="solid">
        <fgColor rgb="FF3B82F6"/>
        <bgColor/>
      </patternFill>
    </fill>
    <fill>
      <patternFill patternType="solid">
        <fgColor rgb="FF0F172A"/>
        <bgColor/>
      </patternFill>
    </fill>
    <fill>
      <patternFill patternType="solid">
        <fgColor rgb="FF1E3A5F"/>
        <bgColor/>
      </patternFill>
    </fill>
    <fill>
      <patternFill patternType="solid">
        <fgColor rgb="FF0D7A5F"/>
        <bgColor/>
      </patternFill>
    </fill>
    <fill>
      <patternFill patternType="solid">
        <fgColor rgb="FFB45309"/>
        <bgColor/>
      </patternFill>
    </fill>
    <fill>
      <patternFill patternType="solid">
        <fgColor rgb="FF374151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5E7EB"/>
        <bgColor/>
      </patternFill>
    </fill>
    <fill>
      <patternFill patternType="solid">
        <fgColor rgb="FFE5E7EB"/>
        <bgColor/>
      </patternFill>
    </fill>
    <fill>
      <patternFill patternType="solid">
        <fgColor rgb="FF111827"/>
        <bgColor/>
      </patternFill>
    </fill>
    <fill>
      <patternFill patternType="solid">
        <fgColor rgb="FF0D7A5F"/>
        <bgColor/>
      </patternFill>
    </fill>
    <fill>
      <patternFill patternType="solid">
        <fgColor rgb="FF1E3A5F"/>
        <bgColor/>
      </patternFill>
    </fill>
    <fill>
      <patternFill patternType="solid">
        <fgColor rgb="FFB45309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F9FAFB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  <fill>
      <patternFill patternType="solid">
        <fgColor rgb="FF0F172A"/>
        <bgColor/>
      </patternFill>
    </fill>
    <fill>
      <patternFill patternType="solid">
        <fgColor rgb="FF1E3A8A"/>
        <bgColor/>
      </patternFill>
    </fill>
    <fill>
      <patternFill patternType="solid">
        <fgColor rgb="FF0D9488"/>
        <bgColor/>
      </patternFill>
    </fill>
    <fill>
      <patternFill patternType="solid">
        <fgColor rgb="FF9F1239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3A5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5F3FF"/>
        <bgColor/>
      </patternFill>
    </fill>
    <fill>
      <patternFill patternType="solid">
        <fgColor rgb="FFF0FDF4"/>
        <bgColor/>
      </patternFill>
    </fill>
    <fill>
      <patternFill patternType="solid">
        <fgColor rgb="FFFFFFFF"/>
        <bgColor/>
      </patternFill>
    </fill>
    <fill>
      <patternFill patternType="solid">
        <fgColor rgb="FFFFFBEB"/>
        <bgColor/>
      </patternFill>
    </fill>
    <fill>
      <patternFill patternType="solid">
        <fgColor rgb="FFFFFBEB"/>
        <bgColor/>
      </patternFill>
    </fill>
    <fill>
      <patternFill patternType="solid">
        <fgColor rgb="FFFFFBEB"/>
        <bgColor/>
      </patternFill>
    </fill>
    <fill>
      <patternFill patternType="solid">
        <fgColor rgb="FF0F172A"/>
        <bgColor/>
      </patternFill>
    </fill>
    <fill>
      <patternFill patternType="solid">
        <fgColor rgb="FF1E3A8A"/>
        <bgColor/>
      </patternFill>
    </fill>
    <fill>
      <patternFill patternType="solid">
        <fgColor rgb="FF0D9488"/>
        <bgColor/>
      </patternFill>
    </fill>
    <fill>
      <patternFill patternType="solid">
        <fgColor rgb="FF9F1239"/>
        <bgColor/>
      </patternFill>
    </fill>
    <fill>
      <patternFill patternType="solid">
        <fgColor rgb="FFFFE4E6"/>
        <bgColor/>
      </patternFill>
    </fill>
    <fill>
      <patternFill patternType="solid">
        <fgColor rgb="FFFFE4E6"/>
        <bgColor/>
      </patternFill>
    </fill>
    <fill>
      <patternFill patternType="solid">
        <fgColor rgb="FFFFE4E6"/>
        <bgColor/>
      </patternFill>
    </fill>
    <fill>
      <patternFill patternType="solid">
        <fgColor rgb="FFFFEDD5"/>
        <bgColor/>
      </patternFill>
    </fill>
    <fill>
      <patternFill patternType="solid">
        <fgColor rgb="FFFFEDD5"/>
        <bgColor/>
      </patternFill>
    </fill>
    <fill>
      <patternFill patternType="solid">
        <fgColor rgb="FFFFEDD5"/>
        <bgColor/>
      </patternFill>
    </fill>
    <fill>
      <patternFill patternType="solid">
        <fgColor rgb="FF0F172A"/>
        <bgColor/>
      </patternFill>
    </fill>
    <fill>
      <patternFill patternType="solid">
        <fgColor rgb="FF1E3A5F"/>
        <bgColor/>
      </patternFill>
    </fill>
    <fill>
      <patternFill patternType="solid">
        <fgColor rgb="FF0D7A5F"/>
        <bgColor/>
      </patternFill>
    </fill>
    <fill>
      <patternFill patternType="solid">
        <fgColor rgb="FF6D28D9"/>
        <bgColor/>
      </patternFill>
    </fill>
    <fill>
      <patternFill patternType="solid">
        <fgColor rgb="FFB45309"/>
        <bgColor/>
      </patternFill>
    </fill>
    <fill>
      <patternFill patternType="solid">
        <fgColor rgb="FF374151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E5E7EB"/>
        <bgColor/>
      </patternFill>
    </fill>
    <fill>
      <patternFill patternType="solid">
        <fgColor rgb="FFE5E7EB"/>
        <bgColor/>
      </patternFill>
    </fill>
    <fill>
      <patternFill patternType="solid">
        <fgColor rgb="FFE5E7EB"/>
        <bgColor/>
      </patternFill>
    </fill>
    <fill>
      <patternFill patternType="solid">
        <fgColor rgb="FFFFFFFF"/>
        <bgColor/>
      </patternFill>
    </fill>
    <fill>
      <patternFill patternType="solid">
        <fgColor rgb="FF0F172A"/>
        <bgColor/>
      </patternFill>
    </fill>
    <fill>
      <patternFill patternType="solid">
        <fgColor rgb="FFFFFFFF"/>
        <bgColor/>
      </patternFill>
    </fill>
    <fill>
      <patternFill patternType="solid">
        <fgColor rgb="FFE6F5ED"/>
        <bgColor/>
      </patternFill>
    </fill>
    <fill>
      <patternFill patternType="solid">
        <fgColor rgb="FFFEF3C7"/>
        <bgColor/>
      </patternFill>
    </fill>
    <fill>
      <patternFill patternType="solid">
        <fgColor rgb="FFFEE2E2"/>
        <bgColor/>
      </patternFill>
    </fill>
    <fill>
      <patternFill patternType="solid">
        <fgColor rgb="FFDBEAFE"/>
        <bgColor/>
      </patternFill>
    </fill>
    <fill>
      <patternFill patternType="solid">
        <fgColor rgb="FFF3F4F6"/>
        <bgColor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 style="thick">
        <color rgb="3B82F6"/>
      </left>
      <right/>
      <top/>
      <bottom style="hair">
        <color rgb="E2E8F0"/>
      </bottom>
      <diagonal/>
    </border>
    <border>
      <left/>
      <right style="thin">
        <color rgb="E2E8F0"/>
      </right>
      <top/>
      <bottom style="hair">
        <color rgb="E2E8F0"/>
      </bottom>
      <diagonal/>
    </border>
    <border>
      <left style="thin">
        <color rgb="E2E8F0"/>
      </left>
      <right/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thin">
        <color rgb="E2E8F0"/>
      </left>
      <right/>
      <top/>
      <bottom style="thin">
        <color rgb="E2E8F0"/>
      </bottom>
      <diagonal/>
    </border>
    <border>
      <left/>
      <right/>
      <top/>
      <bottom style="thin">
        <color rgb="E2E8F0"/>
      </bottom>
      <diagonal/>
    </border>
    <border>
      <left/>
      <right/>
      <top style="thin">
        <color rgb="0F172A"/>
      </top>
      <bottom style="thin">
        <color rgb="0F172A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 style="thin">
        <color rgb="0F172A"/>
      </top>
      <bottom style="thin">
        <color rgb="0F172A"/>
      </bottom>
      <diagonal/>
    </border>
    <border>
      <left style="medium">
        <color rgb="0F172A"/>
      </left>
      <right style="medium">
        <color rgb="0F172A"/>
      </right>
      <top style="medium">
        <color rgb="0F172A"/>
      </top>
      <bottom style="medium">
        <color rgb="0F172A"/>
      </bottom>
      <diagonal/>
    </border>
    <border>
      <left style="medium">
        <color rgb="0F172A"/>
      </left>
      <right style="medium">
        <color rgb="0F172A"/>
      </right>
      <top style="medium">
        <color rgb="0F172A"/>
      </top>
      <bottom style="medium">
        <color rgb="0F172A"/>
      </bottom>
      <diagonal/>
    </border>
    <border>
      <left/>
      <right/>
      <top/>
      <bottom style="thin">
        <color rgb="0F172A"/>
      </bottom>
      <diagonal/>
    </border>
    <border>
      <left/>
      <right/>
      <top/>
      <bottom style="thin">
        <color rgb="0F172A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D1D5DB"/>
      </bottom>
      <diagonal/>
    </border>
    <border>
      <left/>
      <right/>
      <top style="thin">
        <color rgb="9CA3AF"/>
      </top>
      <bottom style="double">
        <color rgb="9CA3AF"/>
      </bottom>
      <diagonal/>
    </border>
    <border>
      <left/>
      <right/>
      <top style="thin">
        <color rgb="9CA3AF"/>
      </top>
      <bottom style="double">
        <color rgb="9CA3AF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hair">
        <color rgb="E5E7EB"/>
      </bottom>
      <diagonal/>
    </border>
    <border>
      <left/>
      <right/>
      <top/>
      <bottom style="hair">
        <color rgb="E5E7EB"/>
      </bottom>
      <diagonal/>
    </border>
    <border>
      <left/>
      <right/>
      <top/>
      <bottom style="hair">
        <color rgb="D1D5DB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 style="medium">
        <color rgb="000000"/>
      </top>
      <bottom style="double">
        <color rgb="000000"/>
      </bottom>
      <diagonal/>
    </border>
    <border>
      <left/>
      <right/>
      <top style="medium">
        <color rgb="000000"/>
      </top>
      <bottom style="double">
        <color rgb="000000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/>
      <bottom style="hair">
        <color rgb="CBD5E1"/>
      </bottom>
      <diagonal/>
    </border>
    <border>
      <left/>
      <right/>
      <top style="medium">
        <color rgb="0F172A"/>
      </top>
      <bottom style="thin">
        <color rgb="000000"/>
      </bottom>
      <diagonal/>
    </border>
    <border>
      <left/>
      <right/>
      <top style="medium">
        <color rgb="0F172A"/>
      </top>
      <bottom style="thin">
        <color rgb="000000"/>
      </bottom>
      <diagonal/>
    </border>
    <border>
      <left/>
      <right/>
      <top style="medium">
        <color rgb="0F172A"/>
      </top>
      <bottom style="thin">
        <color rgb="000000"/>
      </bottom>
      <diagonal/>
    </border>
    <border>
      <left/>
      <right/>
      <top style="medium">
        <color rgb="0F172A"/>
      </top>
      <bottom style="thin">
        <color rgb="000000"/>
      </bottom>
      <diagonal/>
    </border>
    <border>
      <left/>
      <right/>
      <top style="medium">
        <color rgb="0F172A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hair">
        <color rgb="E5E7EB"/>
      </left>
      <right style="hair">
        <color rgb="E5E7EB"/>
      </right>
      <top/>
      <bottom style="hair">
        <color rgb="D1D5DB"/>
      </bottom>
      <diagonal/>
    </border>
    <border>
      <left style="hair">
        <color rgb="E5E7EB"/>
      </left>
      <right style="hair">
        <color rgb="E5E7EB"/>
      </right>
      <top/>
      <bottom style="hair">
        <color rgb="D1D5DB"/>
      </bottom>
      <diagonal/>
    </border>
    <border>
      <left style="hair">
        <color rgb="E5E7EB"/>
      </left>
      <right style="hair">
        <color rgb="E5E7EB"/>
      </right>
      <top/>
      <bottom style="hair">
        <color rgb="D1D5DB"/>
      </bottom>
      <diagonal/>
    </border>
    <border>
      <left style="hair">
        <color rgb="E5E7EB"/>
      </left>
      <right style="hair">
        <color rgb="E5E7EB"/>
      </right>
      <top/>
      <bottom style="hair">
        <color rgb="D1D5DB"/>
      </bottom>
      <diagonal/>
    </border>
    <border>
      <left style="hair">
        <color rgb="E5E7EB"/>
      </left>
      <right style="hair">
        <color rgb="E5E7EB"/>
      </right>
      <top/>
      <bottom style="hair">
        <color rgb="D1D5DB"/>
      </bottom>
      <diagonal/>
    </border>
    <border>
      <left/>
      <right/>
      <top style="medium">
        <color rgb="9CA3AF"/>
      </top>
      <bottom style="double">
        <color rgb="9CA3AF"/>
      </bottom>
      <diagonal/>
    </border>
    <border>
      <left/>
      <right/>
      <top style="medium">
        <color rgb="9CA3AF"/>
      </top>
      <bottom style="double">
        <color rgb="9CA3AF"/>
      </bottom>
      <diagonal/>
    </border>
    <border>
      <left/>
      <right/>
      <top style="medium">
        <color rgb="9CA3AF"/>
      </top>
      <bottom style="double">
        <color rgb="9CA3AF"/>
      </bottom>
      <diagonal/>
    </border>
    <border>
      <left/>
      <right/>
      <top/>
      <bottom style="medium">
        <color rgb="1E3A8A"/>
      </bottom>
      <diagonal/>
    </border>
    <border>
      <left/>
      <right/>
      <top/>
      <bottom style="hair">
        <color rgb="E2E8F0"/>
      </bottom>
      <diagonal/>
    </border>
    <border>
      <left/>
      <right/>
      <top/>
      <bottom style="hair">
        <color rgb="E2E8F0"/>
      </bottom>
      <diagonal/>
    </border>
    <border>
      <left/>
      <right/>
      <top/>
      <bottom style="hair">
        <color rgb="E2E8F0"/>
      </bottom>
      <diagonal/>
    </border>
    <border>
      <left/>
      <right/>
      <top/>
      <bottom style="hair">
        <color rgb="E2E8F0"/>
      </bottom>
      <diagonal/>
    </border>
    <border>
      <left/>
      <right/>
      <top/>
      <bottom style="hair">
        <color rgb="E2E8F0"/>
      </bottom>
      <diagonal/>
    </border>
    <border>
      <left/>
      <right/>
      <top/>
      <bottom style="hair">
        <color rgb="E2E8F0"/>
      </bottom>
      <diagonal/>
    </border>
    <border>
      <left/>
      <right/>
      <top/>
      <bottom style="hair">
        <color rgb="E2E8F0"/>
      </bottom>
      <diagonal/>
    </border>
  </borders>
  <cellStyleXfs>
    <xf numFmtId="0" fontId="0" fillId="0" borderId="0"/>
  </cellStyleXfs>
  <cellXfs count="103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0" fillId="7" borderId="0" xfId="0" applyFill="1"/>
    <xf numFmtId="0" fontId="6" fillId="0" borderId="0" xfId="0" applyFont="1" applyAlignment="1">
      <alignment vertical="bottom"/>
    </xf>
    <xf numFmtId="0" fontId="7" fillId="8" borderId="2" xfId="0" applyFont="1" applyFill="1" applyBorder="1" applyAlignment="1">
      <alignment vertical="center" indent="1"/>
    </xf>
    <xf numFmtId="0" fontId="8" fillId="9" borderId="3" xfId="0" applyFont="1" applyFill="1" applyBorder="1" applyAlignment="1">
      <alignment vertical="center"/>
    </xf>
    <xf numFmtId="0" fontId="9" fillId="10" borderId="0" xfId="0" applyFont="1" applyFill="1" applyAlignment="1">
      <alignment horizontal="left" vertical="center" indent="1"/>
    </xf>
    <xf numFmtId="0" fontId="10" fillId="11" borderId="0" xfId="0" applyFont="1" applyFill="1" applyAlignment="1">
      <alignment horizontal="center" vertical="center"/>
    </xf>
    <xf numFmtId="0" fontId="11" fillId="12" borderId="4" xfId="0" applyFont="1" applyFill="1" applyBorder="1" applyAlignment="1">
      <alignment horizontal="left" vertical="center" indent="1"/>
    </xf>
    <xf numFmtId="0" fontId="12" fillId="13" borderId="5" xfId="0" applyFont="1" applyFill="1" applyBorder="1" applyAlignment="1">
      <alignment horizontal="left" vertical="center" indent="1"/>
    </xf>
    <xf numFmtId="0" fontId="13" fillId="14" borderId="6" xfId="0" applyFont="1" applyFill="1" applyBorder="1" applyAlignment="1">
      <alignment horizontal="center" vertical="center"/>
    </xf>
    <xf numFmtId="0" fontId="14" fillId="15" borderId="7" xfId="0" applyFont="1" applyFill="1" applyBorder="1" applyAlignment="1">
      <alignment horizontal="left" vertical="center" indent="1"/>
    </xf>
    <xf numFmtId="0" fontId="15" fillId="16" borderId="8" xfId="0" applyFont="1" applyFill="1" applyBorder="1" applyAlignment="1">
      <alignment horizontal="left" vertical="center" indent="1"/>
    </xf>
    <xf numFmtId="0" fontId="16" fillId="17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8" fillId="19" borderId="9" xfId="0" applyFont="1" applyFill="1" applyBorder="1" applyAlignment="1">
      <alignment horizontal="left" vertical="center"/>
    </xf>
    <xf numFmtId="0" fontId="19" fillId="20" borderId="10" xfId="0" applyFont="1" applyFill="1" applyBorder="1" applyAlignment="1">
      <alignment horizontal="left" vertical="center"/>
    </xf>
    <xf numFmtId="0" fontId="20" fillId="21" borderId="11" xfId="0" applyFont="1" applyFill="1" applyBorder="1" applyAlignment="1">
      <alignment horizontal="right" vertical="center"/>
    </xf>
    <xf numFmtId="0" fontId="21" fillId="22" borderId="12" xfId="0" applyFont="1" applyFill="1" applyBorder="1" applyAlignment="1">
      <alignment horizontal="left" vertical="center"/>
    </xf>
    <xf numFmtId="0" fontId="22" fillId="23" borderId="13" xfId="0" applyFont="1" applyFill="1" applyBorder="1" applyAlignment="1">
      <alignment horizontal="right" vertical="center"/>
    </xf>
    <xf numFmtId="0" fontId="23" fillId="24" borderId="14" xfId="0" applyFont="1" applyFill="1" applyBorder="1" applyAlignment="1">
      <alignment horizontal="right" vertical="center"/>
    </xf>
    <xf numFmtId="0" fontId="24" fillId="25" borderId="15" xfId="0" applyFont="1" applyFill="1" applyBorder="1" applyAlignment="1">
      <alignment horizontal="center" vertical="center"/>
    </xf>
    <xf numFmtId="0" fontId="25" fillId="26" borderId="16" xfId="0" applyFont="1" applyFill="1" applyBorder="1" applyAlignment="1">
      <alignment horizontal="center" vertical="center"/>
    </xf>
    <xf numFmtId="0" fontId="0" fillId="27" borderId="17" xfId="0" applyFill="1" applyBorder="1"/>
    <xf numFmtId="0" fontId="0" fillId="28" borderId="18" xfId="0" applyFill="1" applyBorder="1"/>
    <xf numFmtId="0" fontId="26" fillId="29" borderId="19" xfId="0" applyFont="1" applyFill="1" applyBorder="1" applyAlignment="1">
      <alignment horizontal="center" vertical="center"/>
    </xf>
    <xf numFmtId="0" fontId="27" fillId="30" borderId="20" xfId="0" applyFont="1" applyFill="1" applyBorder="1" applyAlignment="1">
      <alignment horizontal="center" vertical="center"/>
    </xf>
    <xf numFmtId="0" fontId="28" fillId="31" borderId="21" xfId="0" applyFont="1" applyFill="1" applyBorder="1" applyAlignment="1">
      <alignment horizontal="center" vertical="center"/>
    </xf>
    <xf numFmtId="0" fontId="29" fillId="32" borderId="22" xfId="0" applyFont="1" applyFill="1" applyBorder="1" applyAlignment="1">
      <alignment horizontal="center" vertical="center"/>
    </xf>
    <xf numFmtId="0" fontId="30" fillId="33" borderId="23" xfId="0" applyFont="1" applyFill="1" applyBorder="1" applyAlignment="1">
      <alignment horizontal="center" vertical="center"/>
    </xf>
    <xf numFmtId="0" fontId="31" fillId="34" borderId="24" xfId="0" applyFont="1" applyFill="1" applyBorder="1" applyAlignment="1">
      <alignment horizontal="left" vertical="center"/>
    </xf>
    <xf numFmtId="165" fontId="32" fillId="35" borderId="25" xfId="0" applyFont="1" applyFill="1" applyBorder="1" applyNumberFormat="1" applyAlignment="1">
      <alignment horizontal="right" vertical="center"/>
    </xf>
    <xf numFmtId="0" fontId="33" fillId="36" borderId="26" xfId="0" applyFont="1" applyFill="1" applyBorder="1" applyAlignment="1">
      <alignment horizontal="left" vertical="center"/>
    </xf>
    <xf numFmtId="166" fontId="34" fillId="37" borderId="27" xfId="0" applyFont="1" applyFill="1" applyBorder="1" applyNumberFormat="1" applyAlignment="1">
      <alignment horizontal="right" vertical="center"/>
    </xf>
    <xf numFmtId="0" fontId="35" fillId="38" borderId="28" xfId="0" applyFont="1" applyFill="1" applyBorder="1" applyAlignment="1">
      <alignment horizontal="left" vertical="center"/>
    </xf>
    <xf numFmtId="167" fontId="36" fillId="39" borderId="29" xfId="0" applyFont="1" applyFill="1" applyBorder="1" applyNumberFormat="1" applyAlignment="1">
      <alignment horizontal="right" vertical="center"/>
    </xf>
    <xf numFmtId="0" fontId="0" fillId="40" borderId="0" xfId="0" applyFill="1"/>
    <xf numFmtId="0" fontId="37" fillId="41" borderId="30" xfId="0" applyFont="1" applyFill="1" applyBorder="1" applyAlignment="1">
      <alignment horizontal="center" vertical="center"/>
    </xf>
    <xf numFmtId="0" fontId="38" fillId="42" borderId="31" xfId="0" applyFont="1" applyFill="1" applyBorder="1" applyAlignment="1">
      <alignment horizontal="center" vertical="center"/>
    </xf>
    <xf numFmtId="0" fontId="39" fillId="43" borderId="32" xfId="0" applyFont="1" applyFill="1" applyBorder="1" applyAlignment="1">
      <alignment horizontal="center" vertical="center"/>
    </xf>
    <xf numFmtId="0" fontId="40" fillId="44" borderId="0" xfId="0" applyFont="1" applyFill="1" applyAlignment="1">
      <alignment horizontal="center" vertical="center"/>
    </xf>
    <xf numFmtId="0" fontId="41" fillId="45" borderId="33" xfId="0" applyFont="1" applyFill="1" applyBorder="1" applyAlignment="1">
      <alignment horizontal="center" vertical="center"/>
    </xf>
    <xf numFmtId="0" fontId="42" fillId="46" borderId="34" xfId="0" applyFont="1" applyFill="1" applyBorder="1" applyAlignment="1">
      <alignment horizontal="left" vertical="center"/>
    </xf>
    <xf numFmtId="0" fontId="43" fillId="47" borderId="35" xfId="0" applyFont="1" applyFill="1" applyBorder="1" applyAlignment="1">
      <alignment horizontal="left" vertical="center"/>
    </xf>
    <xf numFmtId="168" fontId="44" fillId="48" borderId="36" xfId="0" applyFont="1" applyFill="1" applyBorder="1" applyNumberFormat="1" applyAlignment="1">
      <alignment horizontal="right" vertical="center"/>
    </xf>
    <xf numFmtId="0" fontId="45" fillId="49" borderId="37" xfId="0" applyFont="1" applyFill="1" applyBorder="1" applyAlignment="1">
      <alignment horizontal="left" vertical="center"/>
    </xf>
    <xf numFmtId="0" fontId="46" fillId="50" borderId="38" xfId="0" applyFont="1" applyFill="1" applyBorder="1" applyAlignment="1">
      <alignment horizontal="center" vertical="center"/>
    </xf>
    <xf numFmtId="0" fontId="47" fillId="51" borderId="39" xfId="0" applyFont="1" applyFill="1" applyBorder="1" applyAlignment="1">
      <alignment horizontal="center" vertical="center"/>
    </xf>
    <xf numFmtId="0" fontId="48" fillId="52" borderId="40" xfId="0" applyFont="1" applyFill="1" applyBorder="1" applyAlignment="1">
      <alignment horizontal="center" vertical="center"/>
    </xf>
    <xf numFmtId="0" fontId="49" fillId="53" borderId="41" xfId="0" applyFont="1" applyFill="1" applyBorder="1" applyAlignment="1">
      <alignment horizontal="center" vertical="center"/>
    </xf>
    <xf numFmtId="0" fontId="50" fillId="54" borderId="42" xfId="0" applyFont="1" applyFill="1" applyBorder="1" applyAlignment="1">
      <alignment horizontal="left" vertical="center"/>
    </xf>
    <xf numFmtId="169" fontId="51" fillId="55" borderId="43" xfId="0" applyFont="1" applyFill="1" applyBorder="1" applyNumberFormat="1" applyAlignment="1">
      <alignment horizontal="right" vertical="center"/>
    </xf>
    <xf numFmtId="0" fontId="52" fillId="56" borderId="44" xfId="0" applyFont="1" applyFill="1" applyBorder="1" applyAlignment="1">
      <alignment horizontal="left" vertical="center"/>
    </xf>
    <xf numFmtId="0" fontId="53" fillId="57" borderId="45" xfId="0" applyFont="1" applyFill="1" applyBorder="1" applyAlignment="1">
      <alignment horizontal="left" vertical="center"/>
    </xf>
    <xf numFmtId="0" fontId="54" fillId="58" borderId="46" xfId="0" applyFont="1" applyFill="1" applyBorder="1" applyAlignment="1">
      <alignment horizontal="left" vertical="center"/>
    </xf>
    <xf numFmtId="170" fontId="55" fillId="59" borderId="47" xfId="0" applyFont="1" applyFill="1" applyBorder="1" applyNumberFormat="1" applyAlignment="1">
      <alignment horizontal="right" vertical="center"/>
    </xf>
    <xf numFmtId="171" fontId="56" fillId="60" borderId="48" xfId="0" applyFont="1" applyFill="1" applyBorder="1" applyNumberFormat="1" applyAlignment="1">
      <alignment horizontal="right" vertical="center"/>
    </xf>
    <xf numFmtId="172" fontId="57" fillId="61" borderId="49" xfId="0" applyFont="1" applyFill="1" applyBorder="1" applyNumberFormat="1" applyAlignment="1">
      <alignment horizontal="right" vertical="center"/>
    </xf>
    <xf numFmtId="0" fontId="58" fillId="62" borderId="50" xfId="0" applyFont="1" applyFill="1" applyBorder="1" applyAlignment="1">
      <alignment horizontal="left" vertical="center"/>
    </xf>
    <xf numFmtId="0" fontId="59" fillId="63" borderId="51" xfId="0" applyFont="1" applyFill="1" applyBorder="1" applyAlignment="1">
      <alignment horizontal="left" vertical="center"/>
    </xf>
    <xf numFmtId="173" fontId="60" fillId="64" borderId="52" xfId="0" applyFont="1" applyFill="1" applyBorder="1" applyNumberFormat="1" applyAlignment="1">
      <alignment horizontal="right" vertical="center"/>
    </xf>
    <xf numFmtId="0" fontId="61" fillId="65" borderId="53" xfId="0" applyFont="1" applyFill="1" applyBorder="1" applyAlignment="1">
      <alignment horizontal="center" vertical="center" wrapText="true"/>
    </xf>
    <xf numFmtId="0" fontId="62" fillId="66" borderId="54" xfId="0" applyFont="1" applyFill="1" applyBorder="1" applyAlignment="1">
      <alignment horizontal="center" vertical="center" wrapText="true"/>
    </xf>
    <xf numFmtId="0" fontId="63" fillId="67" borderId="55" xfId="0" applyFont="1" applyFill="1" applyBorder="1" applyAlignment="1">
      <alignment horizontal="center" vertical="center" wrapText="true"/>
    </xf>
    <xf numFmtId="0" fontId="64" fillId="68" borderId="56" xfId="0" applyFont="1" applyFill="1" applyBorder="1" applyAlignment="1">
      <alignment horizontal="center" vertical="center" wrapText="true"/>
    </xf>
    <xf numFmtId="0" fontId="65" fillId="69" borderId="57" xfId="0" applyFont="1" applyFill="1" applyBorder="1" applyAlignment="1">
      <alignment horizontal="left" vertical="center"/>
    </xf>
    <xf numFmtId="0" fontId="66" fillId="70" borderId="58" xfId="0" applyFont="1" applyFill="1" applyBorder="1" applyAlignment="1">
      <alignment horizontal="left" vertical="center"/>
    </xf>
    <xf numFmtId="174" fontId="67" fillId="71" borderId="59" xfId="0" applyFont="1" applyFill="1" applyBorder="1" applyNumberFormat="1" applyAlignment="1">
      <alignment horizontal="right" vertical="center"/>
    </xf>
    <xf numFmtId="0" fontId="68" fillId="72" borderId="60" xfId="0" applyFont="1" applyFill="1" applyBorder="1" applyAlignment="1">
      <alignment horizontal="left" vertical="center"/>
    </xf>
    <xf numFmtId="0" fontId="69" fillId="73" borderId="61" xfId="0" applyFont="1" applyFill="1" applyBorder="1" applyAlignment="1">
      <alignment horizontal="left" vertical="center"/>
    </xf>
    <xf numFmtId="175" fontId="70" fillId="74" borderId="62" xfId="0" applyFont="1" applyFill="1" applyBorder="1" applyNumberFormat="1" applyAlignment="1">
      <alignment horizontal="right" vertical="center"/>
    </xf>
    <xf numFmtId="0" fontId="71" fillId="75" borderId="63" xfId="0" applyFont="1" applyFill="1" applyBorder="1" applyAlignment="1">
      <alignment horizontal="center" vertical="center"/>
    </xf>
    <xf numFmtId="0" fontId="72" fillId="76" borderId="64" xfId="0" applyFont="1" applyFill="1" applyBorder="1" applyAlignment="1">
      <alignment horizontal="center" vertical="center"/>
    </xf>
    <xf numFmtId="0" fontId="73" fillId="77" borderId="65" xfId="0" applyFont="1" applyFill="1" applyBorder="1" applyAlignment="1">
      <alignment horizontal="center" vertical="center"/>
    </xf>
    <xf numFmtId="0" fontId="74" fillId="78" borderId="66" xfId="0" applyFont="1" applyFill="1" applyBorder="1" applyAlignment="1">
      <alignment horizontal="center" vertical="center"/>
    </xf>
    <xf numFmtId="0" fontId="75" fillId="79" borderId="67" xfId="0" applyFont="1" applyFill="1" applyBorder="1" applyAlignment="1">
      <alignment horizontal="center" vertical="center"/>
    </xf>
    <xf numFmtId="0" fontId="76" fillId="80" borderId="68" xfId="0" applyFont="1" applyFill="1" applyBorder="1" applyAlignment="1">
      <alignment horizontal="center" vertical="center"/>
    </xf>
    <xf numFmtId="0" fontId="77" fillId="81" borderId="69" xfId="0" applyFont="1" applyFill="1" applyBorder="1" applyAlignment="1">
      <alignment horizontal="left" vertical="center"/>
    </xf>
    <xf numFmtId="176" fontId="78" fillId="82" borderId="70" xfId="0" applyFont="1" applyFill="1" applyBorder="1" applyNumberFormat="1" applyAlignment="1">
      <alignment horizontal="right" vertical="center"/>
    </xf>
    <xf numFmtId="0" fontId="79" fillId="83" borderId="71" xfId="0" applyFont="1" applyFill="1" applyBorder="1" applyAlignment="1">
      <alignment horizontal="left" vertical="center"/>
    </xf>
    <xf numFmtId="177" fontId="80" fillId="84" borderId="72" xfId="0" applyFont="1" applyFill="1" applyBorder="1" applyNumberFormat="1" applyAlignment="1">
      <alignment horizontal="right" vertical="center"/>
    </xf>
    <xf numFmtId="178" fontId="81" fillId="85" borderId="73" xfId="0" applyFont="1" applyFill="1" applyBorder="1" applyNumberFormat="1" applyAlignment="1">
      <alignment horizontal="right" vertical="center"/>
    </xf>
    <xf numFmtId="0" fontId="82" fillId="86" borderId="74" xfId="0" applyFont="1" applyFill="1" applyBorder="1" applyAlignment="1">
      <alignment horizontal="left" vertical="center"/>
    </xf>
    <xf numFmtId="179" fontId="83" fillId="87" borderId="75" xfId="0" applyFont="1" applyFill="1" applyBorder="1" applyNumberFormat="1" applyAlignment="1">
      <alignment horizontal="right" vertical="center"/>
    </xf>
    <xf numFmtId="180" fontId="84" fillId="88" borderId="76" xfId="0" applyFont="1" applyFill="1" applyBorder="1" applyNumberFormat="1" applyAlignment="1">
      <alignment horizontal="right" vertical="center"/>
    </xf>
    <xf numFmtId="0" fontId="85" fillId="0" borderId="77" xfId="0" applyFont="1" applyBorder="1" applyAlignment="1">
      <alignment vertical="bottom"/>
    </xf>
    <xf numFmtId="0" fontId="86" fillId="0" borderId="0" xfId="0" applyFont="1" applyAlignment="1">
      <alignment vertical="center" wrapText="true"/>
    </xf>
    <xf numFmtId="0" fontId="87" fillId="89" borderId="78" xfId="0" applyFont="1" applyFill="1" applyBorder="1" applyAlignment="1">
      <alignment vertical="center" indent="1" wrapText="true"/>
    </xf>
    <xf numFmtId="0" fontId="88" fillId="90" borderId="0" xfId="0" applyFont="1" applyFill="1" applyAlignment="1">
      <alignment horizontal="left" vertical="center" indent="1"/>
    </xf>
    <xf numFmtId="0" fontId="89" fillId="91" borderId="79" xfId="0" applyFont="1" applyFill="1" applyBorder="1" applyAlignment="1">
      <alignment vertical="center" indent="1" wrapText="true"/>
    </xf>
    <xf numFmtId="0" fontId="90" fillId="0" borderId="0" xfId="0" applyFont="1" applyAlignment="1">
      <alignment vertical="center" indent="1" wrapText="true"/>
    </xf>
    <xf numFmtId="0" fontId="91" fillId="0" borderId="0" xfId="0" applyFont="1" applyAlignment="1">
      <alignment vertical="center" indent="1" wrapText="true"/>
    </xf>
    <xf numFmtId="0" fontId="92" fillId="92" borderId="80" xfId="0" applyFont="1" applyFill="1" applyBorder="1" applyAlignment="1">
      <alignment vertical="center" indent="1" wrapText="true"/>
    </xf>
    <xf numFmtId="0" fontId="93" fillId="93" borderId="81" xfId="0" applyFont="1" applyFill="1" applyBorder="1" applyAlignment="1">
      <alignment vertical="center" indent="1" wrapText="true"/>
    </xf>
    <xf numFmtId="0" fontId="94" fillId="94" borderId="82" xfId="0" applyFont="1" applyFill="1" applyBorder="1" applyAlignment="1">
      <alignment vertical="center" indent="1" wrapText="true"/>
    </xf>
    <xf numFmtId="0" fontId="95" fillId="95" borderId="83" xfId="0" applyFont="1" applyFill="1" applyBorder="1" applyAlignment="1">
      <alignment vertical="center" indent="1" wrapText="true"/>
    </xf>
    <xf numFmtId="0" fontId="96" fillId="96" borderId="84" xfId="0" applyFont="1" applyFill="1" applyBorder="1" applyAlignment="1">
      <alignment vertical="center" indent="1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.83203125" customWidth="1"/>
    <col min="2" max="2" width="35.83203125" customWidth="1"/>
    <col min="3" max="3" width="65.83203125" customWidth="1"/>
    <col min="4" max="4" width="20.83203125" customWidth="1"/>
  </cols>
  <sheetData>
    <row r="1" ht="18" customHeight="1">
      <c r="A1" s="3" t="str">
        <v/>
      </c>
      <c r="B1" s="3" t="str">
        <v/>
      </c>
      <c r="C1" s="3" t="str">
        <v/>
      </c>
      <c r="D1" s="3" t="str">
        <v/>
      </c>
    </row>
    <row r="2" ht="20" customHeight="1">
      <c r="A2" s="3" t="str">
        <v/>
      </c>
      <c r="B2" s="4" t="str">
        <v>VASWANI RETURN ENTERPRISE</v>
      </c>
      <c r="C2" s="3" t="str">
        <v/>
      </c>
      <c r="D2" s="3" t="str">
        <v/>
      </c>
    </row>
    <row r="3" ht="35" customHeight="1">
      <c r="A3" s="3" t="str">
        <v/>
      </c>
      <c r="B3" s="5" t="str">
        <v>GST RECONCILIATION DASHBOARD</v>
      </c>
      <c r="C3" s="3" t="str">
        <v/>
      </c>
      <c r="D3" s="3" t="str">
        <v/>
      </c>
    </row>
    <row r="4" ht="18" customHeight="1">
      <c r="A4" s="3" t="str">
        <v/>
      </c>
      <c r="B4" s="3" t="str">
        <v/>
      </c>
      <c r="C4" s="3" t="str">
        <v/>
      </c>
      <c r="D4" s="3" t="str">
        <v/>
      </c>
    </row>
    <row r="5" ht="18" customHeight="1">
      <c r="A5" s="3" t="str">
        <v/>
      </c>
      <c r="B5" s="6" t="str">
        <v>COMPANY: TEST COMPANY</v>
      </c>
      <c r="C5" s="3" t="str">
        <v/>
      </c>
      <c r="D5" s="3" t="str">
        <v/>
      </c>
    </row>
    <row r="6" ht="18" customHeight="1">
      <c r="A6" s="3" t="str">
        <v/>
      </c>
      <c r="B6" s="7" t="str">
        <v>GENERATED: 14/9/2026, 11:52:41 PM</v>
      </c>
      <c r="C6" s="3" t="str">
        <v/>
      </c>
      <c r="D6" s="3" t="str">
        <v/>
      </c>
    </row>
    <row r="7" ht="18" customHeight="1">
      <c r="A7" s="3" t="str">
        <v/>
      </c>
      <c r="B7" s="7" t="str">
        <v>PREPARED BY: SYSTEM AUDIT ENGINE</v>
      </c>
      <c r="C7" s="3" t="str">
        <v/>
      </c>
      <c r="D7" s="3" t="str">
        <v/>
      </c>
    </row>
    <row r="8" ht="18" customHeight="1">
      <c r="A8" s="3" t="str">
        <v/>
      </c>
      <c r="B8" s="3" t="str">
        <v/>
      </c>
      <c r="C8" s="3" t="str">
        <v/>
      </c>
      <c r="D8" s="3" t="str">
        <v/>
      </c>
    </row>
    <row r="9" ht="18" customHeight="1">
      <c r="A9" s="8" t="str">
        <v/>
      </c>
      <c r="B9" s="8" t="str">
        <v/>
      </c>
      <c r="C9" s="8" t="str">
        <v/>
      </c>
      <c r="D9" s="8" t="str">
        <v/>
      </c>
    </row>
    <row r="10" ht="24" customHeight="1">
      <c r="A10" s="2" t="str">
        <v/>
      </c>
      <c r="B10" s="9" t="str">
        <v>EXECUTIVE METRICS</v>
      </c>
      <c r="C10" s="2" t="str">
        <v/>
      </c>
      <c r="D10" s="2" t="str">
        <v/>
      </c>
    </row>
    <row r="11" ht="20" customHeight="1">
      <c r="A11" s="2" t="str">
        <v/>
      </c>
      <c r="B11" s="10" t="str">
        <v>Total Records Analysed</v>
      </c>
      <c r="C11" s="11">
        <v>2</v>
      </c>
      <c r="D11" s="2" t="str">
        <v/>
      </c>
    </row>
    <row r="12" ht="20" customHeight="1">
      <c r="A12" s="2" t="str">
        <v/>
      </c>
      <c r="B12" s="10" t="str">
        <v>Net Tax Difference</v>
      </c>
      <c r="C12" s="11" t="str">
        <v>₹19,000.00</v>
      </c>
      <c r="D12" s="2" t="str">
        <v/>
      </c>
    </row>
    <row r="13">
      <c r="A13" s="2" t="str">
        <v/>
      </c>
      <c r="B13" s="2" t="str">
        <v/>
      </c>
      <c r="C13" s="2" t="str">
        <v/>
      </c>
      <c r="D13" s="2" t="str">
        <v/>
      </c>
    </row>
    <row r="14" ht="28" customHeight="1">
      <c r="A14" s="2" t="str">
        <v/>
      </c>
      <c r="B14" s="9" t="str">
        <v>INTERACTIVE DASHBOARD MENU</v>
      </c>
      <c r="C14" s="2" t="str">
        <v/>
      </c>
      <c r="D14" s="2" t="str">
        <v/>
      </c>
    </row>
    <row r="15" ht="20" customHeight="1">
      <c r="A15" s="2" t="str">
        <v/>
      </c>
      <c r="B15" s="12" t="str">
        <v>Report Section</v>
      </c>
      <c r="C15" s="12" t="str">
        <v>Description</v>
      </c>
      <c r="D15" s="13" t="str">
        <v>Action</v>
      </c>
    </row>
    <row r="16" ht="24" customHeight="1">
      <c r="A16" s="2" t="str">
        <v/>
      </c>
      <c r="B16" s="14" t="str">
        <v>Executive Summary</v>
      </c>
      <c r="C16" s="15" t="str">
        <v>High-level reconciliation statistics and variance analysis.</v>
      </c>
      <c r="D16" s="16" t="str">
        <v>▶ OPEN MODULE</v>
      </c>
    </row>
    <row r="17" ht="24" customHeight="1">
      <c r="A17" s="2" t="str">
        <v/>
      </c>
      <c r="B17" s="17" t="str">
        <v>Monthly Tax Comparison</v>
      </c>
      <c r="C17" s="18" t="str">
        <v>Detailed financial year matrix of Tax allocations.</v>
      </c>
      <c r="D17" s="16" t="str">
        <v>▶ OPEN MODULE</v>
      </c>
    </row>
    <row r="18" ht="24" customHeight="1">
      <c r="A18" s="2" t="str">
        <v/>
      </c>
      <c r="B18" s="14" t="str">
        <v>Monthly Tax Comparison FY</v>
      </c>
      <c r="C18" s="15" t="str">
        <v>Alternative layout for FY tax allocations.</v>
      </c>
      <c r="D18" s="16" t="str">
        <v>▶ OPEN MODULE</v>
      </c>
    </row>
    <row r="19" ht="24" customHeight="1">
      <c r="A19" s="2" t="str">
        <v/>
      </c>
      <c r="B19" s="17" t="str">
        <v>April_Diff</v>
      </c>
      <c r="C19" s="18" t="str">
        <v>April_Diff Data Sheet</v>
      </c>
      <c r="D19" s="16" t="str">
        <v>▶ OPEN MODULE</v>
      </c>
    </row>
    <row r="20" ht="24" customHeight="1">
      <c r="A20" s="2" t="str">
        <v/>
      </c>
      <c r="B20" s="14" t="str">
        <v>May_Diff</v>
      </c>
      <c r="C20" s="15" t="str">
        <v>May_Diff Data Sheet</v>
      </c>
      <c r="D20" s="16" t="str">
        <v>▶ OPEN MODULE</v>
      </c>
    </row>
    <row r="21" ht="24" customHeight="1">
      <c r="A21" s="2" t="str">
        <v/>
      </c>
      <c r="B21" s="17" t="str">
        <v>June_Diff</v>
      </c>
      <c r="C21" s="18" t="str">
        <v>June_Diff Data Sheet</v>
      </c>
      <c r="D21" s="16" t="str">
        <v>▶ OPEN MODULE</v>
      </c>
    </row>
    <row r="22" ht="24" customHeight="1">
      <c r="A22" s="2" t="str">
        <v/>
      </c>
      <c r="B22" s="14" t="str">
        <v>July_Diff</v>
      </c>
      <c r="C22" s="15" t="str">
        <v>July_Diff Data Sheet</v>
      </c>
      <c r="D22" s="16" t="str">
        <v>▶ OPEN MODULE</v>
      </c>
    </row>
    <row r="23" ht="24" customHeight="1">
      <c r="A23" s="2" t="str">
        <v/>
      </c>
      <c r="B23" s="17" t="str">
        <v>August_Diff</v>
      </c>
      <c r="C23" s="18" t="str">
        <v>August_Diff Data Sheet</v>
      </c>
      <c r="D23" s="16" t="str">
        <v>▶ OPEN MODULE</v>
      </c>
    </row>
    <row r="24" ht="24" customHeight="1">
      <c r="A24" s="2" t="str">
        <v/>
      </c>
      <c r="B24" s="14" t="str">
        <v>September_Diff</v>
      </c>
      <c r="C24" s="15" t="str">
        <v>September_Diff Data Sheet</v>
      </c>
      <c r="D24" s="16" t="str">
        <v>▶ OPEN MODULE</v>
      </c>
    </row>
    <row r="25" ht="24" customHeight="1">
      <c r="A25" s="2" t="str">
        <v/>
      </c>
      <c r="B25" s="17" t="str">
        <v>October_Diff</v>
      </c>
      <c r="C25" s="18" t="str">
        <v>October_Diff Data Sheet</v>
      </c>
      <c r="D25" s="16" t="str">
        <v>▶ OPEN MODULE</v>
      </c>
    </row>
    <row r="26" ht="24" customHeight="1">
      <c r="A26" s="2" t="str">
        <v/>
      </c>
      <c r="B26" s="14" t="str">
        <v>November_Diff</v>
      </c>
      <c r="C26" s="15" t="str">
        <v>November_Diff Data Sheet</v>
      </c>
      <c r="D26" s="16" t="str">
        <v>▶ OPEN MODULE</v>
      </c>
    </row>
    <row r="27" ht="24" customHeight="1">
      <c r="A27" s="2" t="str">
        <v/>
      </c>
      <c r="B27" s="17" t="str">
        <v>December_Diff</v>
      </c>
      <c r="C27" s="18" t="str">
        <v>December_Diff Data Sheet</v>
      </c>
      <c r="D27" s="16" t="str">
        <v>▶ OPEN MODULE</v>
      </c>
    </row>
    <row r="28" ht="24" customHeight="1">
      <c r="A28" s="2" t="str">
        <v/>
      </c>
      <c r="B28" s="14" t="str">
        <v>January_Diff</v>
      </c>
      <c r="C28" s="15" t="str">
        <v>January_Diff Data Sheet</v>
      </c>
      <c r="D28" s="16" t="str">
        <v>▶ OPEN MODULE</v>
      </c>
    </row>
    <row r="29" ht="24" customHeight="1">
      <c r="A29" s="2" t="str">
        <v/>
      </c>
      <c r="B29" s="17" t="str">
        <v>February_Diff</v>
      </c>
      <c r="C29" s="18" t="str">
        <v>February_Diff Data Sheet</v>
      </c>
      <c r="D29" s="16" t="str">
        <v>▶ OPEN MODULE</v>
      </c>
    </row>
    <row r="30" ht="24" customHeight="1">
      <c r="A30" s="2" t="str">
        <v/>
      </c>
      <c r="B30" s="14" t="str">
        <v>March_Diff</v>
      </c>
      <c r="C30" s="15" t="str">
        <v>March_Diff Data Sheet</v>
      </c>
      <c r="D30" s="16" t="str">
        <v>▶ OPEN MODULE</v>
      </c>
    </row>
    <row r="31" ht="24" customHeight="1">
      <c r="A31" s="2" t="str">
        <v/>
      </c>
      <c r="B31" s="17" t="str">
        <v>Partywise Monthly Working</v>
      </c>
      <c r="C31" s="18" t="str">
        <v>Partywise Monthly Working Data Sheet</v>
      </c>
      <c r="D31" s="16" t="str">
        <v>▶ OPEN MODULE</v>
      </c>
    </row>
    <row r="32" ht="24" customHeight="1">
      <c r="A32" s="2" t="str">
        <v/>
      </c>
      <c r="B32" s="14" t="str">
        <v>Partywise Mismatch Invoices</v>
      </c>
      <c r="C32" s="15" t="str">
        <v>Partywise Mismatch Invoices Data Sheet</v>
      </c>
      <c r="D32" s="16" t="str">
        <v>▶ OPEN MODULE</v>
      </c>
    </row>
    <row r="33" ht="24" customHeight="1">
      <c r="A33" s="2" t="str">
        <v/>
      </c>
      <c r="B33" s="17" t="str">
        <v>Party Mismatch Breakdown</v>
      </c>
      <c r="C33" s="18" t="str">
        <v>Party Mismatch Breakdown Data Sheet</v>
      </c>
      <c r="D33" s="16" t="str">
        <v>▶ OPEN MODULE</v>
      </c>
    </row>
    <row r="34" ht="24" customHeight="1">
      <c r="A34" s="2" t="str">
        <v/>
      </c>
      <c r="B34" s="14" t="str">
        <v>3B vs 2B vs Books</v>
      </c>
      <c r="C34" s="15" t="str">
        <v>3B vs 2B vs Books Data Sheet</v>
      </c>
      <c r="D34" s="16" t="str">
        <v>▶ OPEN MODULE</v>
      </c>
    </row>
    <row r="35" ht="24" customHeight="1">
      <c r="A35" s="2" t="str">
        <v/>
      </c>
      <c r="B35" s="17" t="str">
        <v>Timing Reconciliation</v>
      </c>
      <c r="C35" s="18" t="str">
        <v>Timing Reconciliation Data Sheet</v>
      </c>
      <c r="D35" s="16" t="str">
        <v>▶ OPEN MODULE</v>
      </c>
    </row>
    <row r="36" ht="24" customHeight="1">
      <c r="A36" s="2" t="str">
        <v/>
      </c>
      <c r="B36" s="14" t="str">
        <v>📖 Methodology &amp; Legend</v>
      </c>
      <c r="C36" s="15" t="str">
        <v>Explanation of matching logic, tolerances, and color codes.</v>
      </c>
      <c r="D36" s="16" t="str">
        <v>▶ OPEN MODULE</v>
      </c>
    </row>
  </sheetData>
  <mergeCells count="10">
    <mergeCell ref="B2:D2"/>
    <mergeCell ref="B3:D3"/>
    <mergeCell ref="B4:D4"/>
    <mergeCell ref="B5:D5"/>
    <mergeCell ref="B6:D6"/>
    <mergeCell ref="B7:D7"/>
    <mergeCell ref="B10:D10"/>
    <mergeCell ref="C11:D11"/>
    <mergeCell ref="C12:D12"/>
    <mergeCell ref="B14:D14"/>
  </mergeCells>
  <hyperlinks>
    <hyperlink ref="D16" location="'Executive Summary'!A4" tooltip="Navigate to Executive Summary"/>
    <hyperlink ref="D17" location="'Monthly Tax Comparison'!A4" tooltip="Navigate to Monthly Tax Comparison"/>
    <hyperlink ref="D18" location="'Monthly Tax Comparison FY'!A4" tooltip="Navigate to Monthly Tax Comparison FY"/>
    <hyperlink ref="D19" location="'April_Diff'!A4" tooltip="Navigate to April_Diff"/>
    <hyperlink ref="D20" location="'May_Diff'!A4" tooltip="Navigate to May_Diff"/>
    <hyperlink ref="D21" location="'June_Diff'!A4" tooltip="Navigate to June_Diff"/>
    <hyperlink ref="D22" location="'July_Diff'!A4" tooltip="Navigate to July_Diff"/>
    <hyperlink ref="D23" location="'August_Diff'!A4" tooltip="Navigate to August_Diff"/>
    <hyperlink ref="D24" location="'September_Diff'!A4" tooltip="Navigate to September_Diff"/>
    <hyperlink ref="D25" location="'October_Diff'!A4" tooltip="Navigate to October_Diff"/>
    <hyperlink ref="D26" location="'November_Diff'!A4" tooltip="Navigate to November_Diff"/>
    <hyperlink ref="D27" location="'December_Diff'!A4" tooltip="Navigate to December_Diff"/>
    <hyperlink ref="D28" location="'January_Diff'!A4" tooltip="Navigate to January_Diff"/>
    <hyperlink ref="D29" location="'February_Diff'!A4" tooltip="Navigate to February_Diff"/>
    <hyperlink ref="D30" location="'March_Diff'!A4" tooltip="Navigate to March_Diff"/>
    <hyperlink ref="D31" location="'Partywise Monthly Working'!A4" tooltip="Navigate to Partywise Monthly Working"/>
    <hyperlink ref="D32" location="'Partywise Mismatch Invoices'!A4" tooltip="Navigate to Partywise Mismatch Invoices"/>
    <hyperlink ref="D33" location="'Party Mismatch Breakdown'!A4" tooltip="Navigate to Party Mismatch Breakdown"/>
    <hyperlink ref="D34" location="'3B vs 2B vs Books'!A4" tooltip="Navigate to 3B vs 2B vs Books"/>
    <hyperlink ref="D35" location="'Timing Reconciliation'!A4" tooltip="Navigate to Timing Reconciliation"/>
    <hyperlink ref="D36" location="'📖 Methodology &amp; Legend'!A4" tooltip="Navigate to 📖 Methodology &amp; Legend"/>
  </hyperlinks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.83203125" customWidth="1"/>
    <col min="2" max="2" width="25.83203125" customWidth="1"/>
    <col min="3" max="3" width="12.83203125" customWidth="1"/>
    <col min="4" max="4" width="18.83203125" customWidth="1"/>
    <col min="5" max="5" width="3.83203125" customWidth="1"/>
  </cols>
  <sheetData>
    <row r="1" ht="26" customHeight="1">
      <c r="A1" s="19" t="str">
        <v>TEST COMPANY - MONTHLY COMPARISON</v>
      </c>
    </row>
    <row r="2" ht="14" customHeight="1">
      <c r="A2" s="20" t="str">
        <v>Report Generated on: 14/9/2026, 11:52:41 pm | Powered by Vaswani Return</v>
      </c>
    </row>
    <row r="4" ht="18" customHeight="1">
      <c r="B4" s="21" t="str">
        <v>REPORT PARAMETERS</v>
      </c>
      <c r="C4" s="21" t="str">
        <v/>
      </c>
      <c r="D4" s="21" t="str">
        <v/>
      </c>
    </row>
    <row r="5" ht="15" customHeight="1">
      <c r="B5" s="22" t="str">
        <v>Company Name</v>
      </c>
      <c r="C5" s="22" t="str">
        <v/>
      </c>
      <c r="D5" s="23" t="str">
        <v>TEST COMPANY</v>
      </c>
    </row>
    <row r="6" ht="15" customHeight="1">
      <c r="B6" s="24" t="str">
        <v>Report Generated</v>
      </c>
      <c r="C6" s="24" t="str">
        <v/>
      </c>
      <c r="D6" s="25" t="str">
        <v>14/9/2026, 11:52:41 pm</v>
      </c>
    </row>
    <row r="7" ht="15" customHeight="1">
      <c r="B7" s="22" t="str">
        <v>Total Records Analysed</v>
      </c>
      <c r="C7" s="22" t="str">
        <v/>
      </c>
      <c r="D7" s="23">
        <v>2</v>
      </c>
    </row>
    <row r="8" ht="15" customHeight="1">
      <c r="B8" s="24" t="str">
        <v>Net Tax Difference</v>
      </c>
      <c r="C8" s="24" t="str">
        <v/>
      </c>
      <c r="D8" s="25" t="str">
        <v>₹19,000.00</v>
      </c>
    </row>
    <row r="9" ht="15" customHeight="1">
      <c r="B9" s="22" t="str">
        <v/>
      </c>
      <c r="C9" s="22" t="str">
        <v/>
      </c>
      <c r="D9" s="23" t="str">
        <v/>
      </c>
    </row>
    <row r="10" ht="18" customHeight="1">
      <c r="B10" s="21" t="str">
        <v>STATUS BREAKDOWN</v>
      </c>
      <c r="C10" s="21" t="str">
        <v/>
      </c>
      <c r="D10" s="26" t="str">
        <v>RECORD COUNT</v>
      </c>
    </row>
    <row r="11" ht="15" customHeight="1">
      <c r="B11" s="22" t="str">
        <v>Missing in 2B</v>
      </c>
      <c r="C11" s="22" t="str">
        <v/>
      </c>
      <c r="D11" s="23">
        <v>1</v>
      </c>
    </row>
    <row r="12" ht="15" customHeight="1">
      <c r="B12" s="24" t="str">
        <v>Value Mismatch</v>
      </c>
      <c r="C12" s="24" t="str">
        <v/>
      </c>
      <c r="D12" s="25">
        <v>1</v>
      </c>
    </row>
  </sheetData>
  <sheetProtection sheet="1" selectLockedCells="1" selectUnlockedCells="1" password="D9EF"/>
  <mergeCells count="10">
    <mergeCell ref="A1:H1"/>
    <mergeCell ref="A2:H2"/>
    <mergeCell ref="B4:D4"/>
    <mergeCell ref="B5:C5"/>
    <mergeCell ref="B6:C6"/>
    <mergeCell ref="B7:C7"/>
    <mergeCell ref="B8:C8"/>
    <mergeCell ref="B10:C10"/>
    <mergeCell ref="B11:C11"/>
    <mergeCell ref="B12:C12"/>
  </mergeCells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3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3.83203125" customWidth="1"/>
    <col min="13" max="13" width="12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</cols>
  <sheetData>
    <row r="1" ht="26" customHeight="1">
      <c r="A1" s="19" t="str">
        <v>TEST COMPANY - MONTHLY TAX COMPARISON</v>
      </c>
      <c r="I1" s="27" t="str">
        <v>🏠 Home</v>
      </c>
      <c r="J1" s="27" t="str">
        <v>📊 Summary</v>
      </c>
      <c r="K1" s="28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30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</row>
    <row r="3" ht="20" customHeight="1">
      <c r="A3" s="31" t="str">
        <v>NET ITC COMPARISON</v>
      </c>
    </row>
    <row r="4" ht="18" customHeight="1">
      <c r="A4" s="32" t="str">
        <v>TOTAL PURCHASE AS PER TALLY</v>
      </c>
      <c r="G4" s="33" t="str">
        <v>TOTAL AS PER GSTR-2B</v>
      </c>
      <c r="M4" s="34" t="str">
        <v>DIFFERENCE</v>
      </c>
    </row>
    <row r="5" ht="18" customHeight="1">
      <c r="A5" s="35" t="str">
        <v>Month</v>
      </c>
      <c r="B5" s="35" t="str">
        <v>CGST</v>
      </c>
      <c r="C5" s="35" t="str">
        <v>SGST</v>
      </c>
      <c r="D5" s="35" t="str">
        <v>IGST</v>
      </c>
      <c r="E5" s="35" t="str">
        <v>Total</v>
      </c>
      <c r="G5" s="35" t="str">
        <v>Month</v>
      </c>
      <c r="H5" s="35" t="str">
        <v>CGST</v>
      </c>
      <c r="I5" s="35" t="str">
        <v>SGST</v>
      </c>
      <c r="J5" s="35" t="str">
        <v>IGST</v>
      </c>
      <c r="K5" s="35" t="str">
        <v>Total</v>
      </c>
      <c r="M5" s="35" t="str">
        <v>Month</v>
      </c>
      <c r="N5" s="35" t="str">
        <v>CGST</v>
      </c>
      <c r="O5" s="35" t="str">
        <v>SGST</v>
      </c>
      <c r="P5" s="35" t="str">
        <v>IGST</v>
      </c>
      <c r="Q5" s="35" t="str">
        <v>Total</v>
      </c>
    </row>
    <row r="6" ht="15" customHeight="1">
      <c r="A6" s="36" t="str">
        <v>April</v>
      </c>
      <c r="B6" s="37">
        <f>N23</f>
        <v>9000</v>
      </c>
      <c r="C6" s="37">
        <f>O23</f>
        <v>9000</v>
      </c>
      <c r="D6" s="37">
        <f>P23</f>
        <v>0</v>
      </c>
      <c r="E6" s="37">
        <f>SUM(B6:D6)</f>
        <v>18000</v>
      </c>
      <c r="G6" s="36" t="str">
        <v>April</v>
      </c>
      <c r="H6" s="37">
        <f>N40</f>
        <v>0</v>
      </c>
      <c r="I6" s="37">
        <f>O40</f>
        <v>0</v>
      </c>
      <c r="J6" s="37">
        <f>P40</f>
        <v>0</v>
      </c>
      <c r="K6" s="37">
        <f>SUM(H6:J6)</f>
        <v>0</v>
      </c>
      <c r="M6" s="36" t="str">
        <v>April</v>
      </c>
      <c r="N6" s="37">
        <f>B6-H6</f>
        <v>9000</v>
      </c>
      <c r="O6" s="37">
        <f>C6-I6</f>
        <v>9000</v>
      </c>
      <c r="P6" s="37">
        <f>D6-J6</f>
        <v>0</v>
      </c>
      <c r="Q6" s="37">
        <f>SUM(N6:P6)</f>
        <v>18000</v>
      </c>
    </row>
    <row r="7" ht="15" customHeight="1">
      <c r="A7" s="38" t="str">
        <v>May</v>
      </c>
      <c r="B7" s="39">
        <f>N24</f>
        <v>4500</v>
      </c>
      <c r="C7" s="39">
        <f>O24</f>
        <v>4500</v>
      </c>
      <c r="D7" s="39">
        <f>P24</f>
        <v>0</v>
      </c>
      <c r="E7" s="39">
        <f>SUM(B7:D7)</f>
        <v>9000</v>
      </c>
      <c r="G7" s="38" t="str">
        <v>May</v>
      </c>
      <c r="H7" s="39">
        <f>N41</f>
        <v>4000</v>
      </c>
      <c r="I7" s="39">
        <f>O41</f>
        <v>4000</v>
      </c>
      <c r="J7" s="39">
        <f>P41</f>
        <v>0</v>
      </c>
      <c r="K7" s="39">
        <f>SUM(H7:J7)</f>
        <v>8000</v>
      </c>
      <c r="M7" s="38" t="str">
        <v>May</v>
      </c>
      <c r="N7" s="39">
        <f>B7-H7</f>
        <v>500</v>
      </c>
      <c r="O7" s="39">
        <f>C7-I7</f>
        <v>500</v>
      </c>
      <c r="P7" s="39">
        <f>D7-J7</f>
        <v>0</v>
      </c>
      <c r="Q7" s="39">
        <f>SUM(N7:P7)</f>
        <v>1000</v>
      </c>
    </row>
    <row r="8" ht="15" customHeight="1">
      <c r="A8" s="36" t="str">
        <v>June</v>
      </c>
      <c r="B8" s="37">
        <f>N25</f>
        <v>0</v>
      </c>
      <c r="C8" s="37">
        <f>O25</f>
        <v>0</v>
      </c>
      <c r="D8" s="37">
        <f>P25</f>
        <v>0</v>
      </c>
      <c r="E8" s="37">
        <f>SUM(B8:D8)</f>
        <v>0</v>
      </c>
      <c r="G8" s="36" t="str">
        <v>June</v>
      </c>
      <c r="H8" s="37">
        <f>N42</f>
        <v>0</v>
      </c>
      <c r="I8" s="37">
        <f>O42</f>
        <v>0</v>
      </c>
      <c r="J8" s="37">
        <f>P42</f>
        <v>0</v>
      </c>
      <c r="K8" s="37">
        <f>SUM(H8:J8)</f>
        <v>0</v>
      </c>
      <c r="M8" s="36" t="str">
        <v>June</v>
      </c>
      <c r="N8" s="37">
        <f>B8-H8</f>
        <v>0</v>
      </c>
      <c r="O8" s="37">
        <f>C8-I8</f>
        <v>0</v>
      </c>
      <c r="P8" s="37">
        <f>D8-J8</f>
        <v>0</v>
      </c>
      <c r="Q8" s="37">
        <f>SUM(N8:P8)</f>
        <v>0</v>
      </c>
    </row>
    <row r="9" ht="15" customHeight="1">
      <c r="A9" s="38" t="str">
        <v>July</v>
      </c>
      <c r="B9" s="39">
        <f>N26</f>
        <v>0</v>
      </c>
      <c r="C9" s="39">
        <f>O26</f>
        <v>0</v>
      </c>
      <c r="D9" s="39">
        <f>P26</f>
        <v>0</v>
      </c>
      <c r="E9" s="39">
        <f>SUM(B9:D9)</f>
        <v>0</v>
      </c>
      <c r="G9" s="38" t="str">
        <v>July</v>
      </c>
      <c r="H9" s="39">
        <f>N43</f>
        <v>0</v>
      </c>
      <c r="I9" s="39">
        <f>O43</f>
        <v>0</v>
      </c>
      <c r="J9" s="39">
        <f>P43</f>
        <v>0</v>
      </c>
      <c r="K9" s="39">
        <f>SUM(H9:J9)</f>
        <v>0</v>
      </c>
      <c r="M9" s="38" t="str">
        <v>July</v>
      </c>
      <c r="N9" s="39">
        <f>B9-H9</f>
        <v>0</v>
      </c>
      <c r="O9" s="39">
        <f>C9-I9</f>
        <v>0</v>
      </c>
      <c r="P9" s="39">
        <f>D9-J9</f>
        <v>0</v>
      </c>
      <c r="Q9" s="39">
        <f>SUM(N9:P9)</f>
        <v>0</v>
      </c>
    </row>
    <row r="10" ht="15" customHeight="1">
      <c r="A10" s="36" t="str">
        <v>August</v>
      </c>
      <c r="B10" s="37">
        <f>N27</f>
        <v>0</v>
      </c>
      <c r="C10" s="37">
        <f>O27</f>
        <v>0</v>
      </c>
      <c r="D10" s="37">
        <f>P27</f>
        <v>0</v>
      </c>
      <c r="E10" s="37">
        <f>SUM(B10:D10)</f>
        <v>0</v>
      </c>
      <c r="G10" s="36" t="str">
        <v>August</v>
      </c>
      <c r="H10" s="37">
        <f>N44</f>
        <v>0</v>
      </c>
      <c r="I10" s="37">
        <f>O44</f>
        <v>0</v>
      </c>
      <c r="J10" s="37">
        <f>P44</f>
        <v>0</v>
      </c>
      <c r="K10" s="37">
        <f>SUM(H10:J10)</f>
        <v>0</v>
      </c>
      <c r="M10" s="36" t="str">
        <v>August</v>
      </c>
      <c r="N10" s="37">
        <f>B10-H10</f>
        <v>0</v>
      </c>
      <c r="O10" s="37">
        <f>C10-I10</f>
        <v>0</v>
      </c>
      <c r="P10" s="37">
        <f>D10-J10</f>
        <v>0</v>
      </c>
      <c r="Q10" s="37">
        <f>SUM(N10:P10)</f>
        <v>0</v>
      </c>
    </row>
    <row r="11" ht="15" customHeight="1">
      <c r="A11" s="38" t="str">
        <v>September</v>
      </c>
      <c r="B11" s="39">
        <f>N28</f>
        <v>0</v>
      </c>
      <c r="C11" s="39">
        <f>O28</f>
        <v>0</v>
      </c>
      <c r="D11" s="39">
        <f>P28</f>
        <v>0</v>
      </c>
      <c r="E11" s="39">
        <f>SUM(B11:D11)</f>
        <v>0</v>
      </c>
      <c r="G11" s="38" t="str">
        <v>September</v>
      </c>
      <c r="H11" s="39">
        <f>N45</f>
        <v>0</v>
      </c>
      <c r="I11" s="39">
        <f>O45</f>
        <v>0</v>
      </c>
      <c r="J11" s="39">
        <f>P45</f>
        <v>0</v>
      </c>
      <c r="K11" s="39">
        <f>SUM(H11:J11)</f>
        <v>0</v>
      </c>
      <c r="M11" s="38" t="str">
        <v>September</v>
      </c>
      <c r="N11" s="39">
        <f>B11-H11</f>
        <v>0</v>
      </c>
      <c r="O11" s="39">
        <f>C11-I11</f>
        <v>0</v>
      </c>
      <c r="P11" s="39">
        <f>D11-J11</f>
        <v>0</v>
      </c>
      <c r="Q11" s="39">
        <f>SUM(N11:P11)</f>
        <v>0</v>
      </c>
    </row>
    <row r="12" ht="15" customHeight="1">
      <c r="A12" s="36" t="str">
        <v>October</v>
      </c>
      <c r="B12" s="37">
        <f>N29</f>
        <v>0</v>
      </c>
      <c r="C12" s="37">
        <f>O29</f>
        <v>0</v>
      </c>
      <c r="D12" s="37">
        <f>P29</f>
        <v>0</v>
      </c>
      <c r="E12" s="37">
        <f>SUM(B12:D12)</f>
        <v>0</v>
      </c>
      <c r="G12" s="36" t="str">
        <v>October</v>
      </c>
      <c r="H12" s="37">
        <f>N46</f>
        <v>0</v>
      </c>
      <c r="I12" s="37">
        <f>O46</f>
        <v>0</v>
      </c>
      <c r="J12" s="37">
        <f>P46</f>
        <v>0</v>
      </c>
      <c r="K12" s="37">
        <f>SUM(H12:J12)</f>
        <v>0</v>
      </c>
      <c r="M12" s="36" t="str">
        <v>October</v>
      </c>
      <c r="N12" s="37">
        <f>B12-H12</f>
        <v>0</v>
      </c>
      <c r="O12" s="37">
        <f>C12-I12</f>
        <v>0</v>
      </c>
      <c r="P12" s="37">
        <f>D12-J12</f>
        <v>0</v>
      </c>
      <c r="Q12" s="37">
        <f>SUM(N12:P12)</f>
        <v>0</v>
      </c>
    </row>
    <row r="13" ht="15" customHeight="1">
      <c r="A13" s="38" t="str">
        <v>November</v>
      </c>
      <c r="B13" s="39">
        <f>N30</f>
        <v>0</v>
      </c>
      <c r="C13" s="39">
        <f>O30</f>
        <v>0</v>
      </c>
      <c r="D13" s="39">
        <f>P30</f>
        <v>0</v>
      </c>
      <c r="E13" s="39">
        <f>SUM(B13:D13)</f>
        <v>0</v>
      </c>
      <c r="G13" s="38" t="str">
        <v>November</v>
      </c>
      <c r="H13" s="39">
        <f>N47</f>
        <v>0</v>
      </c>
      <c r="I13" s="39">
        <f>O47</f>
        <v>0</v>
      </c>
      <c r="J13" s="39">
        <f>P47</f>
        <v>0</v>
      </c>
      <c r="K13" s="39">
        <f>SUM(H13:J13)</f>
        <v>0</v>
      </c>
      <c r="M13" s="38" t="str">
        <v>November</v>
      </c>
      <c r="N13" s="39">
        <f>B13-H13</f>
        <v>0</v>
      </c>
      <c r="O13" s="39">
        <f>C13-I13</f>
        <v>0</v>
      </c>
      <c r="P13" s="39">
        <f>D13-J13</f>
        <v>0</v>
      </c>
      <c r="Q13" s="39">
        <f>SUM(N13:P13)</f>
        <v>0</v>
      </c>
    </row>
    <row r="14" ht="15" customHeight="1">
      <c r="A14" s="36" t="str">
        <v>December</v>
      </c>
      <c r="B14" s="37">
        <f>N31</f>
        <v>0</v>
      </c>
      <c r="C14" s="37">
        <f>O31</f>
        <v>0</v>
      </c>
      <c r="D14" s="37">
        <f>P31</f>
        <v>0</v>
      </c>
      <c r="E14" s="37">
        <f>SUM(B14:D14)</f>
        <v>0</v>
      </c>
      <c r="G14" s="36" t="str">
        <v>December</v>
      </c>
      <c r="H14" s="37">
        <f>N48</f>
        <v>0</v>
      </c>
      <c r="I14" s="37">
        <f>O48</f>
        <v>0</v>
      </c>
      <c r="J14" s="37">
        <f>P48</f>
        <v>0</v>
      </c>
      <c r="K14" s="37">
        <f>SUM(H14:J14)</f>
        <v>0</v>
      </c>
      <c r="M14" s="36" t="str">
        <v>December</v>
      </c>
      <c r="N14" s="37">
        <f>B14-H14</f>
        <v>0</v>
      </c>
      <c r="O14" s="37">
        <f>C14-I14</f>
        <v>0</v>
      </c>
      <c r="P14" s="37">
        <f>D14-J14</f>
        <v>0</v>
      </c>
      <c r="Q14" s="37">
        <f>SUM(N14:P14)</f>
        <v>0</v>
      </c>
    </row>
    <row r="15" ht="15" customHeight="1">
      <c r="A15" s="38" t="str">
        <v>January</v>
      </c>
      <c r="B15" s="39">
        <f>N32</f>
        <v>0</v>
      </c>
      <c r="C15" s="39">
        <f>O32</f>
        <v>0</v>
      </c>
      <c r="D15" s="39">
        <f>P32</f>
        <v>0</v>
      </c>
      <c r="E15" s="39">
        <f>SUM(B15:D15)</f>
        <v>0</v>
      </c>
      <c r="G15" s="38" t="str">
        <v>January</v>
      </c>
      <c r="H15" s="39">
        <f>N49</f>
        <v>0</v>
      </c>
      <c r="I15" s="39">
        <f>O49</f>
        <v>0</v>
      </c>
      <c r="J15" s="39">
        <f>P49</f>
        <v>0</v>
      </c>
      <c r="K15" s="39">
        <f>SUM(H15:J15)</f>
        <v>0</v>
      </c>
      <c r="M15" s="38" t="str">
        <v>January</v>
      </c>
      <c r="N15" s="39">
        <f>B15-H15</f>
        <v>0</v>
      </c>
      <c r="O15" s="39">
        <f>C15-I15</f>
        <v>0</v>
      </c>
      <c r="P15" s="39">
        <f>D15-J15</f>
        <v>0</v>
      </c>
      <c r="Q15" s="39">
        <f>SUM(N15:P15)</f>
        <v>0</v>
      </c>
    </row>
    <row r="16" ht="15" customHeight="1">
      <c r="A16" s="36" t="str">
        <v>February</v>
      </c>
      <c r="B16" s="37">
        <f>N33</f>
        <v>0</v>
      </c>
      <c r="C16" s="37">
        <f>O33</f>
        <v>0</v>
      </c>
      <c r="D16" s="37">
        <f>P33</f>
        <v>0</v>
      </c>
      <c r="E16" s="37">
        <f>SUM(B16:D16)</f>
        <v>0</v>
      </c>
      <c r="G16" s="36" t="str">
        <v>February</v>
      </c>
      <c r="H16" s="37">
        <f>N50</f>
        <v>0</v>
      </c>
      <c r="I16" s="37">
        <f>O50</f>
        <v>0</v>
      </c>
      <c r="J16" s="37">
        <f>P50</f>
        <v>0</v>
      </c>
      <c r="K16" s="37">
        <f>SUM(H16:J16)</f>
        <v>0</v>
      </c>
      <c r="M16" s="36" t="str">
        <v>February</v>
      </c>
      <c r="N16" s="37">
        <f>B16-H16</f>
        <v>0</v>
      </c>
      <c r="O16" s="37">
        <f>C16-I16</f>
        <v>0</v>
      </c>
      <c r="P16" s="37">
        <f>D16-J16</f>
        <v>0</v>
      </c>
      <c r="Q16" s="37">
        <f>SUM(N16:P16)</f>
        <v>0</v>
      </c>
    </row>
    <row r="17" ht="15" customHeight="1">
      <c r="A17" s="38" t="str">
        <v>March</v>
      </c>
      <c r="B17" s="39">
        <f>N34</f>
        <v>0</v>
      </c>
      <c r="C17" s="39">
        <f>O34</f>
        <v>0</v>
      </c>
      <c r="D17" s="39">
        <f>P34</f>
        <v>0</v>
      </c>
      <c r="E17" s="39">
        <f>SUM(B17:D17)</f>
        <v>0</v>
      </c>
      <c r="G17" s="38" t="str">
        <v>March</v>
      </c>
      <c r="H17" s="39">
        <f>N51</f>
        <v>0</v>
      </c>
      <c r="I17" s="39">
        <f>O51</f>
        <v>0</v>
      </c>
      <c r="J17" s="39">
        <f>P51</f>
        <v>0</v>
      </c>
      <c r="K17" s="39">
        <f>SUM(H17:J17)</f>
        <v>0</v>
      </c>
      <c r="M17" s="38" t="str">
        <v>March</v>
      </c>
      <c r="N17" s="39">
        <f>B17-H17</f>
        <v>0</v>
      </c>
      <c r="O17" s="39">
        <f>C17-I17</f>
        <v>0</v>
      </c>
      <c r="P17" s="39">
        <f>D17-J17</f>
        <v>0</v>
      </c>
      <c r="Q17" s="39">
        <f>SUM(N17:P17)</f>
        <v>0</v>
      </c>
    </row>
    <row r="18" ht="15" customHeight="1">
      <c r="A18" s="40" t="str">
        <v>TOTAL</v>
      </c>
      <c r="B18" s="41">
        <f>SUM(B6:B17)</f>
        <v>13500</v>
      </c>
      <c r="C18" s="41">
        <f>SUM(C6:C17)</f>
        <v>13500</v>
      </c>
      <c r="D18" s="41">
        <f>SUM(D6:D17)</f>
        <v>0</v>
      </c>
      <c r="E18" s="41">
        <f>SUM(E6:E17)</f>
        <v>27000</v>
      </c>
      <c r="G18" s="40" t="str">
        <v>TOTAL</v>
      </c>
      <c r="H18" s="41">
        <f>SUM(H6:H17)</f>
        <v>4000</v>
      </c>
      <c r="I18" s="41">
        <f>SUM(I6:I17)</f>
        <v>4000</v>
      </c>
      <c r="J18" s="41">
        <f>SUM(J6:J17)</f>
        <v>0</v>
      </c>
      <c r="K18" s="41">
        <f>SUM(K6:K17)</f>
        <v>8000</v>
      </c>
      <c r="M18" s="40" t="str">
        <v>TOTAL</v>
      </c>
      <c r="N18" s="41">
        <f>SUM(N6:N17)</f>
        <v>9500</v>
      </c>
      <c r="O18" s="41">
        <f>SUM(O6:O17)</f>
        <v>9500</v>
      </c>
      <c r="P18" s="41">
        <f>SUM(P6:P17)</f>
        <v>0</v>
      </c>
      <c r="Q18" s="41">
        <f>SUM(Q6:Q17)</f>
        <v>19000</v>
      </c>
    </row>
    <row r="19" ht="8" customHeight="1">
      <c r="A19" s="42" t="str">
        <v/>
      </c>
      <c r="B19" s="42" t="str">
        <v/>
      </c>
      <c r="C19" s="42" t="str">
        <v/>
      </c>
      <c r="D19" s="42" t="str">
        <v/>
      </c>
      <c r="E19" s="42" t="str">
        <v/>
      </c>
      <c r="F19" s="42" t="str">
        <v/>
      </c>
      <c r="G19" s="42" t="str">
        <v/>
      </c>
      <c r="H19" s="42" t="str">
        <v/>
      </c>
      <c r="I19" s="42" t="str">
        <v/>
      </c>
      <c r="J19" s="42" t="str">
        <v/>
      </c>
      <c r="K19" s="42" t="str">
        <v/>
      </c>
      <c r="L19" s="42" t="str">
        <v/>
      </c>
      <c r="M19" s="42" t="str">
        <v/>
      </c>
      <c r="N19" s="42" t="str">
        <v/>
      </c>
      <c r="O19" s="42" t="str">
        <v/>
      </c>
      <c r="P19" s="42" t="str">
        <v/>
      </c>
      <c r="Q19" s="42" t="str">
        <v/>
      </c>
    </row>
    <row r="20" ht="20" customHeight="1">
      <c r="A20" s="31" t="str">
        <v>FINAL BOOKS DATA</v>
      </c>
    </row>
    <row r="21" ht="18" customHeight="1">
      <c r="A21" s="32" t="str">
        <v>PURCHASE</v>
      </c>
      <c r="G21" s="34" t="str">
        <v>DEBIT NOTE</v>
      </c>
      <c r="M21" s="32" t="str">
        <v>TOTAL PURCHASE AS PER TALLY</v>
      </c>
    </row>
    <row r="22" ht="18" customHeight="1">
      <c r="A22" s="35" t="str">
        <v>Month</v>
      </c>
      <c r="B22" s="35" t="str">
        <v>CGST</v>
      </c>
      <c r="C22" s="35" t="str">
        <v>SGST</v>
      </c>
      <c r="D22" s="35" t="str">
        <v>IGST</v>
      </c>
      <c r="E22" s="35" t="str">
        <v>Total</v>
      </c>
      <c r="G22" s="35" t="str">
        <v>Month</v>
      </c>
      <c r="H22" s="35" t="str">
        <v>CGST</v>
      </c>
      <c r="I22" s="35" t="str">
        <v>SGST</v>
      </c>
      <c r="J22" s="35" t="str">
        <v>IGST</v>
      </c>
      <c r="K22" s="35" t="str">
        <v>Total</v>
      </c>
      <c r="M22" s="35" t="str">
        <v>Month</v>
      </c>
      <c r="N22" s="35" t="str">
        <v>CGST</v>
      </c>
      <c r="O22" s="35" t="str">
        <v>SGST</v>
      </c>
      <c r="P22" s="35" t="str">
        <v>IGST</v>
      </c>
      <c r="Q22" s="35" t="str">
        <v>Total</v>
      </c>
    </row>
    <row r="23" ht="15" customHeight="1">
      <c r="A23" s="38" t="str">
        <v>April</v>
      </c>
      <c r="B23" s="39">
        <v>9000</v>
      </c>
      <c r="C23" s="39">
        <v>9000</v>
      </c>
      <c r="D23" s="39">
        <v>0</v>
      </c>
      <c r="E23" s="39">
        <f>SUM(B23:D23)</f>
        <v>18000</v>
      </c>
      <c r="G23" s="38" t="str">
        <v>April</v>
      </c>
      <c r="H23" s="39">
        <v>0</v>
      </c>
      <c r="I23" s="39">
        <v>0</v>
      </c>
      <c r="J23" s="39">
        <v>0</v>
      </c>
      <c r="K23" s="39">
        <f>SUM(H23:J23)</f>
        <v>0</v>
      </c>
      <c r="M23" s="38" t="str">
        <v>April</v>
      </c>
      <c r="N23" s="39">
        <f>B23-H23</f>
        <v>9000</v>
      </c>
      <c r="O23" s="39">
        <f>C23-I23</f>
        <v>9000</v>
      </c>
      <c r="P23" s="39">
        <f>D23-J23</f>
        <v>0</v>
      </c>
      <c r="Q23" s="39">
        <f>SUM(N23:P23)</f>
        <v>18000</v>
      </c>
    </row>
    <row r="24" ht="15" customHeight="1">
      <c r="A24" s="36" t="str">
        <v>May</v>
      </c>
      <c r="B24" s="37">
        <v>4500</v>
      </c>
      <c r="C24" s="37">
        <v>4500</v>
      </c>
      <c r="D24" s="37">
        <v>0</v>
      </c>
      <c r="E24" s="37">
        <f>SUM(B24:D24)</f>
        <v>9000</v>
      </c>
      <c r="G24" s="36" t="str">
        <v>May</v>
      </c>
      <c r="H24" s="37">
        <v>0</v>
      </c>
      <c r="I24" s="37">
        <v>0</v>
      </c>
      <c r="J24" s="37">
        <v>0</v>
      </c>
      <c r="K24" s="37">
        <f>SUM(H24:J24)</f>
        <v>0</v>
      </c>
      <c r="M24" s="36" t="str">
        <v>May</v>
      </c>
      <c r="N24" s="37">
        <f>B24-H24</f>
        <v>4500</v>
      </c>
      <c r="O24" s="37">
        <f>C24-I24</f>
        <v>4500</v>
      </c>
      <c r="P24" s="37">
        <f>D24-J24</f>
        <v>0</v>
      </c>
      <c r="Q24" s="37">
        <f>SUM(N24:P24)</f>
        <v>9000</v>
      </c>
    </row>
    <row r="25" ht="15" customHeight="1">
      <c r="A25" s="38" t="str">
        <v>June</v>
      </c>
      <c r="B25" s="39">
        <v>0</v>
      </c>
      <c r="C25" s="39">
        <v>0</v>
      </c>
      <c r="D25" s="39">
        <v>0</v>
      </c>
      <c r="E25" s="39">
        <f>SUM(B25:D25)</f>
        <v>0</v>
      </c>
      <c r="G25" s="38" t="str">
        <v>June</v>
      </c>
      <c r="H25" s="39">
        <v>0</v>
      </c>
      <c r="I25" s="39">
        <v>0</v>
      </c>
      <c r="J25" s="39">
        <v>0</v>
      </c>
      <c r="K25" s="39">
        <f>SUM(H25:J25)</f>
        <v>0</v>
      </c>
      <c r="M25" s="38" t="str">
        <v>June</v>
      </c>
      <c r="N25" s="39">
        <f>B25-H25</f>
        <v>0</v>
      </c>
      <c r="O25" s="39">
        <f>C25-I25</f>
        <v>0</v>
      </c>
      <c r="P25" s="39">
        <f>D25-J25</f>
        <v>0</v>
      </c>
      <c r="Q25" s="39">
        <f>SUM(N25:P25)</f>
        <v>0</v>
      </c>
    </row>
    <row r="26" ht="15" customHeight="1">
      <c r="A26" s="36" t="str">
        <v>July</v>
      </c>
      <c r="B26" s="37">
        <v>0</v>
      </c>
      <c r="C26" s="37">
        <v>0</v>
      </c>
      <c r="D26" s="37">
        <v>0</v>
      </c>
      <c r="E26" s="37">
        <f>SUM(B26:D26)</f>
        <v>0</v>
      </c>
      <c r="G26" s="36" t="str">
        <v>July</v>
      </c>
      <c r="H26" s="37">
        <v>0</v>
      </c>
      <c r="I26" s="37">
        <v>0</v>
      </c>
      <c r="J26" s="37">
        <v>0</v>
      </c>
      <c r="K26" s="37">
        <f>SUM(H26:J26)</f>
        <v>0</v>
      </c>
      <c r="M26" s="36" t="str">
        <v>July</v>
      </c>
      <c r="N26" s="37">
        <f>B26-H26</f>
        <v>0</v>
      </c>
      <c r="O26" s="37">
        <f>C26-I26</f>
        <v>0</v>
      </c>
      <c r="P26" s="37">
        <f>D26-J26</f>
        <v>0</v>
      </c>
      <c r="Q26" s="37">
        <f>SUM(N26:P26)</f>
        <v>0</v>
      </c>
    </row>
    <row r="27" ht="15" customHeight="1">
      <c r="A27" s="38" t="str">
        <v>August</v>
      </c>
      <c r="B27" s="39">
        <v>0</v>
      </c>
      <c r="C27" s="39">
        <v>0</v>
      </c>
      <c r="D27" s="39">
        <v>0</v>
      </c>
      <c r="E27" s="39">
        <f>SUM(B27:D27)</f>
        <v>0</v>
      </c>
      <c r="G27" s="38" t="str">
        <v>August</v>
      </c>
      <c r="H27" s="39">
        <v>0</v>
      </c>
      <c r="I27" s="39">
        <v>0</v>
      </c>
      <c r="J27" s="39">
        <v>0</v>
      </c>
      <c r="K27" s="39">
        <f>SUM(H27:J27)</f>
        <v>0</v>
      </c>
      <c r="M27" s="38" t="str">
        <v>August</v>
      </c>
      <c r="N27" s="39">
        <f>B27-H27</f>
        <v>0</v>
      </c>
      <c r="O27" s="39">
        <f>C27-I27</f>
        <v>0</v>
      </c>
      <c r="P27" s="39">
        <f>D27-J27</f>
        <v>0</v>
      </c>
      <c r="Q27" s="39">
        <f>SUM(N27:P27)</f>
        <v>0</v>
      </c>
    </row>
    <row r="28" ht="15" customHeight="1">
      <c r="A28" s="36" t="str">
        <v>September</v>
      </c>
      <c r="B28" s="37">
        <v>0</v>
      </c>
      <c r="C28" s="37">
        <v>0</v>
      </c>
      <c r="D28" s="37">
        <v>0</v>
      </c>
      <c r="E28" s="37">
        <f>SUM(B28:D28)</f>
        <v>0</v>
      </c>
      <c r="G28" s="36" t="str">
        <v>September</v>
      </c>
      <c r="H28" s="37">
        <v>0</v>
      </c>
      <c r="I28" s="37">
        <v>0</v>
      </c>
      <c r="J28" s="37">
        <v>0</v>
      </c>
      <c r="K28" s="37">
        <f>SUM(H28:J28)</f>
        <v>0</v>
      </c>
      <c r="M28" s="36" t="str">
        <v>September</v>
      </c>
      <c r="N28" s="37">
        <f>B28-H28</f>
        <v>0</v>
      </c>
      <c r="O28" s="37">
        <f>C28-I28</f>
        <v>0</v>
      </c>
      <c r="P28" s="37">
        <f>D28-J28</f>
        <v>0</v>
      </c>
      <c r="Q28" s="37">
        <f>SUM(N28:P28)</f>
        <v>0</v>
      </c>
    </row>
    <row r="29" ht="15" customHeight="1">
      <c r="A29" s="38" t="str">
        <v>October</v>
      </c>
      <c r="B29" s="39">
        <v>0</v>
      </c>
      <c r="C29" s="39">
        <v>0</v>
      </c>
      <c r="D29" s="39">
        <v>0</v>
      </c>
      <c r="E29" s="39">
        <f>SUM(B29:D29)</f>
        <v>0</v>
      </c>
      <c r="G29" s="38" t="str">
        <v>October</v>
      </c>
      <c r="H29" s="39">
        <v>0</v>
      </c>
      <c r="I29" s="39">
        <v>0</v>
      </c>
      <c r="J29" s="39">
        <v>0</v>
      </c>
      <c r="K29" s="39">
        <f>SUM(H29:J29)</f>
        <v>0</v>
      </c>
      <c r="M29" s="38" t="str">
        <v>October</v>
      </c>
      <c r="N29" s="39">
        <f>B29-H29</f>
        <v>0</v>
      </c>
      <c r="O29" s="39">
        <f>C29-I29</f>
        <v>0</v>
      </c>
      <c r="P29" s="39">
        <f>D29-J29</f>
        <v>0</v>
      </c>
      <c r="Q29" s="39">
        <f>SUM(N29:P29)</f>
        <v>0</v>
      </c>
    </row>
    <row r="30" ht="15" customHeight="1">
      <c r="A30" s="36" t="str">
        <v>November</v>
      </c>
      <c r="B30" s="37">
        <v>0</v>
      </c>
      <c r="C30" s="37">
        <v>0</v>
      </c>
      <c r="D30" s="37">
        <v>0</v>
      </c>
      <c r="E30" s="37">
        <f>SUM(B30:D30)</f>
        <v>0</v>
      </c>
      <c r="G30" s="36" t="str">
        <v>November</v>
      </c>
      <c r="H30" s="37">
        <v>0</v>
      </c>
      <c r="I30" s="37">
        <v>0</v>
      </c>
      <c r="J30" s="37">
        <v>0</v>
      </c>
      <c r="K30" s="37">
        <f>SUM(H30:J30)</f>
        <v>0</v>
      </c>
      <c r="M30" s="36" t="str">
        <v>November</v>
      </c>
      <c r="N30" s="37">
        <f>B30-H30</f>
        <v>0</v>
      </c>
      <c r="O30" s="37">
        <f>C30-I30</f>
        <v>0</v>
      </c>
      <c r="P30" s="37">
        <f>D30-J30</f>
        <v>0</v>
      </c>
      <c r="Q30" s="37">
        <f>SUM(N30:P30)</f>
        <v>0</v>
      </c>
    </row>
    <row r="31" ht="15" customHeight="1">
      <c r="A31" s="38" t="str">
        <v>December</v>
      </c>
      <c r="B31" s="39">
        <v>0</v>
      </c>
      <c r="C31" s="39">
        <v>0</v>
      </c>
      <c r="D31" s="39">
        <v>0</v>
      </c>
      <c r="E31" s="39">
        <f>SUM(B31:D31)</f>
        <v>0</v>
      </c>
      <c r="G31" s="38" t="str">
        <v>December</v>
      </c>
      <c r="H31" s="39">
        <v>0</v>
      </c>
      <c r="I31" s="39">
        <v>0</v>
      </c>
      <c r="J31" s="39">
        <v>0</v>
      </c>
      <c r="K31" s="39">
        <f>SUM(H31:J31)</f>
        <v>0</v>
      </c>
      <c r="M31" s="38" t="str">
        <v>December</v>
      </c>
      <c r="N31" s="39">
        <f>B31-H31</f>
        <v>0</v>
      </c>
      <c r="O31" s="39">
        <f>C31-I31</f>
        <v>0</v>
      </c>
      <c r="P31" s="39">
        <f>D31-J31</f>
        <v>0</v>
      </c>
      <c r="Q31" s="39">
        <f>SUM(N31:P31)</f>
        <v>0</v>
      </c>
    </row>
    <row r="32" ht="15" customHeight="1">
      <c r="A32" s="36" t="str">
        <v>January</v>
      </c>
      <c r="B32" s="37">
        <v>0</v>
      </c>
      <c r="C32" s="37">
        <v>0</v>
      </c>
      <c r="D32" s="37">
        <v>0</v>
      </c>
      <c r="E32" s="37">
        <f>SUM(B32:D32)</f>
        <v>0</v>
      </c>
      <c r="G32" s="36" t="str">
        <v>January</v>
      </c>
      <c r="H32" s="37">
        <v>0</v>
      </c>
      <c r="I32" s="37">
        <v>0</v>
      </c>
      <c r="J32" s="37">
        <v>0</v>
      </c>
      <c r="K32" s="37">
        <f>SUM(H32:J32)</f>
        <v>0</v>
      </c>
      <c r="M32" s="36" t="str">
        <v>January</v>
      </c>
      <c r="N32" s="37">
        <f>B32-H32</f>
        <v>0</v>
      </c>
      <c r="O32" s="37">
        <f>C32-I32</f>
        <v>0</v>
      </c>
      <c r="P32" s="37">
        <f>D32-J32</f>
        <v>0</v>
      </c>
      <c r="Q32" s="37">
        <f>SUM(N32:P32)</f>
        <v>0</v>
      </c>
    </row>
    <row r="33" ht="15" customHeight="1">
      <c r="A33" s="38" t="str">
        <v>February</v>
      </c>
      <c r="B33" s="39">
        <v>0</v>
      </c>
      <c r="C33" s="39">
        <v>0</v>
      </c>
      <c r="D33" s="39">
        <v>0</v>
      </c>
      <c r="E33" s="39">
        <f>SUM(B33:D33)</f>
        <v>0</v>
      </c>
      <c r="G33" s="38" t="str">
        <v>February</v>
      </c>
      <c r="H33" s="39">
        <v>0</v>
      </c>
      <c r="I33" s="39">
        <v>0</v>
      </c>
      <c r="J33" s="39">
        <v>0</v>
      </c>
      <c r="K33" s="39">
        <f>SUM(H33:J33)</f>
        <v>0</v>
      </c>
      <c r="M33" s="38" t="str">
        <v>February</v>
      </c>
      <c r="N33" s="39">
        <f>B33-H33</f>
        <v>0</v>
      </c>
      <c r="O33" s="39">
        <f>C33-I33</f>
        <v>0</v>
      </c>
      <c r="P33" s="39">
        <f>D33-J33</f>
        <v>0</v>
      </c>
      <c r="Q33" s="39">
        <f>SUM(N33:P33)</f>
        <v>0</v>
      </c>
    </row>
    <row r="34" ht="15" customHeight="1">
      <c r="A34" s="36" t="str">
        <v>March</v>
      </c>
      <c r="B34" s="37">
        <v>0</v>
      </c>
      <c r="C34" s="37">
        <v>0</v>
      </c>
      <c r="D34" s="37">
        <v>0</v>
      </c>
      <c r="E34" s="37">
        <f>SUM(B34:D34)</f>
        <v>0</v>
      </c>
      <c r="G34" s="36" t="str">
        <v>March</v>
      </c>
      <c r="H34" s="37">
        <v>0</v>
      </c>
      <c r="I34" s="37">
        <v>0</v>
      </c>
      <c r="J34" s="37">
        <v>0</v>
      </c>
      <c r="K34" s="37">
        <f>SUM(H34:J34)</f>
        <v>0</v>
      </c>
      <c r="M34" s="36" t="str">
        <v>March</v>
      </c>
      <c r="N34" s="37">
        <f>B34-H34</f>
        <v>0</v>
      </c>
      <c r="O34" s="37">
        <f>C34-I34</f>
        <v>0</v>
      </c>
      <c r="P34" s="37">
        <f>D34-J34</f>
        <v>0</v>
      </c>
      <c r="Q34" s="37">
        <f>SUM(N34:P34)</f>
        <v>0</v>
      </c>
    </row>
    <row r="35" ht="15" customHeight="1">
      <c r="A35" s="40" t="str">
        <v>TOTAL</v>
      </c>
      <c r="B35" s="41">
        <f>SUM(B23:B34)</f>
        <v>13500</v>
      </c>
      <c r="C35" s="41">
        <f>SUM(C23:C34)</f>
        <v>13500</v>
      </c>
      <c r="D35" s="41">
        <f>SUM(D23:D34)</f>
        <v>0</v>
      </c>
      <c r="E35" s="41">
        <f>SUM(E23:E34)</f>
        <v>27000</v>
      </c>
      <c r="G35" s="40" t="str">
        <v>TOTAL</v>
      </c>
      <c r="H35" s="41">
        <f>SUM(H23:H34)</f>
        <v>0</v>
      </c>
      <c r="I35" s="41">
        <f>SUM(I23:I34)</f>
        <v>0</v>
      </c>
      <c r="J35" s="41">
        <f>SUM(J23:J34)</f>
        <v>0</v>
      </c>
      <c r="K35" s="41">
        <f>SUM(K23:K34)</f>
        <v>0</v>
      </c>
      <c r="M35" s="40" t="str">
        <v>TOTAL</v>
      </c>
      <c r="N35" s="41">
        <f>SUM(N23:N34)</f>
        <v>13500</v>
      </c>
      <c r="O35" s="41">
        <f>SUM(O23:O34)</f>
        <v>13500</v>
      </c>
      <c r="P35" s="41">
        <f>SUM(P23:P34)</f>
        <v>0</v>
      </c>
      <c r="Q35" s="41">
        <f>SUM(Q23:Q34)</f>
        <v>27000</v>
      </c>
    </row>
    <row r="36" ht="8" customHeight="1">
      <c r="A36" s="42" t="str">
        <v/>
      </c>
      <c r="B36" s="42" t="str">
        <v/>
      </c>
      <c r="C36" s="42" t="str">
        <v/>
      </c>
      <c r="D36" s="42" t="str">
        <v/>
      </c>
      <c r="E36" s="42" t="str">
        <v/>
      </c>
      <c r="F36" s="42" t="str">
        <v/>
      </c>
      <c r="G36" s="42" t="str">
        <v/>
      </c>
      <c r="H36" s="42" t="str">
        <v/>
      </c>
      <c r="I36" s="42" t="str">
        <v/>
      </c>
      <c r="J36" s="42" t="str">
        <v/>
      </c>
      <c r="K36" s="42" t="str">
        <v/>
      </c>
      <c r="L36" s="42" t="str">
        <v/>
      </c>
      <c r="M36" s="42" t="str">
        <v/>
      </c>
      <c r="N36" s="42" t="str">
        <v/>
      </c>
      <c r="O36" s="42" t="str">
        <v/>
      </c>
      <c r="P36" s="42" t="str">
        <v/>
      </c>
      <c r="Q36" s="42" t="str">
        <v/>
      </c>
    </row>
    <row r="37" ht="20" customHeight="1">
      <c r="A37" s="31" t="str">
        <v>FINAL 2B DATA</v>
      </c>
    </row>
    <row r="38" ht="18" customHeight="1">
      <c r="A38" s="33" t="str">
        <v>B2B INVOICES</v>
      </c>
      <c r="G38" s="34" t="str">
        <v>DEBIT/CREDIT NOTES</v>
      </c>
      <c r="M38" s="33" t="str">
        <v>TOTAL AS PER GSTR-2B</v>
      </c>
    </row>
    <row r="39" ht="18" customHeight="1">
      <c r="A39" s="35" t="str">
        <v>Month</v>
      </c>
      <c r="B39" s="35" t="str">
        <v>CGST</v>
      </c>
      <c r="C39" s="35" t="str">
        <v>SGST</v>
      </c>
      <c r="D39" s="35" t="str">
        <v>IGST</v>
      </c>
      <c r="E39" s="35" t="str">
        <v>Total</v>
      </c>
      <c r="G39" s="35" t="str">
        <v>Month</v>
      </c>
      <c r="H39" s="35" t="str">
        <v>CGST</v>
      </c>
      <c r="I39" s="35" t="str">
        <v>SGST</v>
      </c>
      <c r="J39" s="35" t="str">
        <v>IGST</v>
      </c>
      <c r="K39" s="35" t="str">
        <v>Total</v>
      </c>
      <c r="M39" s="35" t="str">
        <v>Month</v>
      </c>
      <c r="N39" s="35" t="str">
        <v>CGST</v>
      </c>
      <c r="O39" s="35" t="str">
        <v>SGST</v>
      </c>
      <c r="P39" s="35" t="str">
        <v>IGST</v>
      </c>
      <c r="Q39" s="35" t="str">
        <v>Total</v>
      </c>
    </row>
    <row r="40" ht="15" customHeight="1">
      <c r="A40" s="36" t="str">
        <v>April</v>
      </c>
      <c r="B40" s="37">
        <v>0</v>
      </c>
      <c r="C40" s="37">
        <v>0</v>
      </c>
      <c r="D40" s="37">
        <v>0</v>
      </c>
      <c r="E40" s="37">
        <f>SUM(B40:D40)</f>
        <v>0</v>
      </c>
      <c r="G40" s="36" t="str">
        <v>April</v>
      </c>
      <c r="H40" s="37">
        <v>0</v>
      </c>
      <c r="I40" s="37">
        <v>0</v>
      </c>
      <c r="J40" s="37">
        <v>0</v>
      </c>
      <c r="K40" s="37">
        <f>SUM(H40:J40)</f>
        <v>0</v>
      </c>
      <c r="M40" s="36" t="str">
        <v>April</v>
      </c>
      <c r="N40" s="37">
        <f>B40-H40</f>
        <v>0</v>
      </c>
      <c r="O40" s="37">
        <f>C40-I40</f>
        <v>0</v>
      </c>
      <c r="P40" s="37">
        <f>D40-J40</f>
        <v>0</v>
      </c>
      <c r="Q40" s="37">
        <f>SUM(N40:P40)</f>
        <v>0</v>
      </c>
    </row>
    <row r="41" ht="15" customHeight="1">
      <c r="A41" s="38" t="str">
        <v>May</v>
      </c>
      <c r="B41" s="39">
        <v>4000</v>
      </c>
      <c r="C41" s="39">
        <v>4000</v>
      </c>
      <c r="D41" s="39">
        <v>0</v>
      </c>
      <c r="E41" s="39">
        <f>SUM(B41:D41)</f>
        <v>8000</v>
      </c>
      <c r="G41" s="38" t="str">
        <v>May</v>
      </c>
      <c r="H41" s="39">
        <v>0</v>
      </c>
      <c r="I41" s="39">
        <v>0</v>
      </c>
      <c r="J41" s="39">
        <v>0</v>
      </c>
      <c r="K41" s="39">
        <f>SUM(H41:J41)</f>
        <v>0</v>
      </c>
      <c r="M41" s="38" t="str">
        <v>May</v>
      </c>
      <c r="N41" s="39">
        <f>B41-H41</f>
        <v>4000</v>
      </c>
      <c r="O41" s="39">
        <f>C41-I41</f>
        <v>4000</v>
      </c>
      <c r="P41" s="39">
        <f>D41-J41</f>
        <v>0</v>
      </c>
      <c r="Q41" s="39">
        <f>SUM(N41:P41)</f>
        <v>8000</v>
      </c>
    </row>
    <row r="42" ht="15" customHeight="1">
      <c r="A42" s="36" t="str">
        <v>June</v>
      </c>
      <c r="B42" s="37">
        <v>0</v>
      </c>
      <c r="C42" s="37">
        <v>0</v>
      </c>
      <c r="D42" s="37">
        <v>0</v>
      </c>
      <c r="E42" s="37">
        <f>SUM(B42:D42)</f>
        <v>0</v>
      </c>
      <c r="G42" s="36" t="str">
        <v>June</v>
      </c>
      <c r="H42" s="37">
        <v>0</v>
      </c>
      <c r="I42" s="37">
        <v>0</v>
      </c>
      <c r="J42" s="37">
        <v>0</v>
      </c>
      <c r="K42" s="37">
        <f>SUM(H42:J42)</f>
        <v>0</v>
      </c>
      <c r="M42" s="36" t="str">
        <v>June</v>
      </c>
      <c r="N42" s="37">
        <f>B42-H42</f>
        <v>0</v>
      </c>
      <c r="O42" s="37">
        <f>C42-I42</f>
        <v>0</v>
      </c>
      <c r="P42" s="37">
        <f>D42-J42</f>
        <v>0</v>
      </c>
      <c r="Q42" s="37">
        <f>SUM(N42:P42)</f>
        <v>0</v>
      </c>
    </row>
    <row r="43" ht="15" customHeight="1">
      <c r="A43" s="38" t="str">
        <v>July</v>
      </c>
      <c r="B43" s="39">
        <v>0</v>
      </c>
      <c r="C43" s="39">
        <v>0</v>
      </c>
      <c r="D43" s="39">
        <v>0</v>
      </c>
      <c r="E43" s="39">
        <f>SUM(B43:D43)</f>
        <v>0</v>
      </c>
      <c r="G43" s="38" t="str">
        <v>July</v>
      </c>
      <c r="H43" s="39">
        <v>0</v>
      </c>
      <c r="I43" s="39">
        <v>0</v>
      </c>
      <c r="J43" s="39">
        <v>0</v>
      </c>
      <c r="K43" s="39">
        <f>SUM(H43:J43)</f>
        <v>0</v>
      </c>
      <c r="M43" s="38" t="str">
        <v>July</v>
      </c>
      <c r="N43" s="39">
        <f>B43-H43</f>
        <v>0</v>
      </c>
      <c r="O43" s="39">
        <f>C43-I43</f>
        <v>0</v>
      </c>
      <c r="P43" s="39">
        <f>D43-J43</f>
        <v>0</v>
      </c>
      <c r="Q43" s="39">
        <f>SUM(N43:P43)</f>
        <v>0</v>
      </c>
    </row>
    <row r="44" ht="15" customHeight="1">
      <c r="A44" s="36" t="str">
        <v>August</v>
      </c>
      <c r="B44" s="37">
        <v>0</v>
      </c>
      <c r="C44" s="37">
        <v>0</v>
      </c>
      <c r="D44" s="37">
        <v>0</v>
      </c>
      <c r="E44" s="37">
        <f>SUM(B44:D44)</f>
        <v>0</v>
      </c>
      <c r="G44" s="36" t="str">
        <v>August</v>
      </c>
      <c r="H44" s="37">
        <v>0</v>
      </c>
      <c r="I44" s="37">
        <v>0</v>
      </c>
      <c r="J44" s="37">
        <v>0</v>
      </c>
      <c r="K44" s="37">
        <f>SUM(H44:J44)</f>
        <v>0</v>
      </c>
      <c r="M44" s="36" t="str">
        <v>August</v>
      </c>
      <c r="N44" s="37">
        <f>B44-H44</f>
        <v>0</v>
      </c>
      <c r="O44" s="37">
        <f>C44-I44</f>
        <v>0</v>
      </c>
      <c r="P44" s="37">
        <f>D44-J44</f>
        <v>0</v>
      </c>
      <c r="Q44" s="37">
        <f>SUM(N44:P44)</f>
        <v>0</v>
      </c>
    </row>
    <row r="45" ht="15" customHeight="1">
      <c r="A45" s="38" t="str">
        <v>September</v>
      </c>
      <c r="B45" s="39">
        <v>0</v>
      </c>
      <c r="C45" s="39">
        <v>0</v>
      </c>
      <c r="D45" s="39">
        <v>0</v>
      </c>
      <c r="E45" s="39">
        <f>SUM(B45:D45)</f>
        <v>0</v>
      </c>
      <c r="G45" s="38" t="str">
        <v>September</v>
      </c>
      <c r="H45" s="39">
        <v>0</v>
      </c>
      <c r="I45" s="39">
        <v>0</v>
      </c>
      <c r="J45" s="39">
        <v>0</v>
      </c>
      <c r="K45" s="39">
        <f>SUM(H45:J45)</f>
        <v>0</v>
      </c>
      <c r="M45" s="38" t="str">
        <v>September</v>
      </c>
      <c r="N45" s="39">
        <f>B45-H45</f>
        <v>0</v>
      </c>
      <c r="O45" s="39">
        <f>C45-I45</f>
        <v>0</v>
      </c>
      <c r="P45" s="39">
        <f>D45-J45</f>
        <v>0</v>
      </c>
      <c r="Q45" s="39">
        <f>SUM(N45:P45)</f>
        <v>0</v>
      </c>
    </row>
    <row r="46" ht="15" customHeight="1">
      <c r="A46" s="36" t="str">
        <v>October</v>
      </c>
      <c r="B46" s="37">
        <v>0</v>
      </c>
      <c r="C46" s="37">
        <v>0</v>
      </c>
      <c r="D46" s="37">
        <v>0</v>
      </c>
      <c r="E46" s="37">
        <f>SUM(B46:D46)</f>
        <v>0</v>
      </c>
      <c r="G46" s="36" t="str">
        <v>October</v>
      </c>
      <c r="H46" s="37">
        <v>0</v>
      </c>
      <c r="I46" s="37">
        <v>0</v>
      </c>
      <c r="J46" s="37">
        <v>0</v>
      </c>
      <c r="K46" s="37">
        <f>SUM(H46:J46)</f>
        <v>0</v>
      </c>
      <c r="M46" s="36" t="str">
        <v>October</v>
      </c>
      <c r="N46" s="37">
        <f>B46-H46</f>
        <v>0</v>
      </c>
      <c r="O46" s="37">
        <f>C46-I46</f>
        <v>0</v>
      </c>
      <c r="P46" s="37">
        <f>D46-J46</f>
        <v>0</v>
      </c>
      <c r="Q46" s="37">
        <f>SUM(N46:P46)</f>
        <v>0</v>
      </c>
    </row>
    <row r="47" ht="15" customHeight="1">
      <c r="A47" s="38" t="str">
        <v>November</v>
      </c>
      <c r="B47" s="39">
        <v>0</v>
      </c>
      <c r="C47" s="39">
        <v>0</v>
      </c>
      <c r="D47" s="39">
        <v>0</v>
      </c>
      <c r="E47" s="39">
        <f>SUM(B47:D47)</f>
        <v>0</v>
      </c>
      <c r="G47" s="38" t="str">
        <v>November</v>
      </c>
      <c r="H47" s="39">
        <v>0</v>
      </c>
      <c r="I47" s="39">
        <v>0</v>
      </c>
      <c r="J47" s="39">
        <v>0</v>
      </c>
      <c r="K47" s="39">
        <f>SUM(H47:J47)</f>
        <v>0</v>
      </c>
      <c r="M47" s="38" t="str">
        <v>November</v>
      </c>
      <c r="N47" s="39">
        <f>B47-H47</f>
        <v>0</v>
      </c>
      <c r="O47" s="39">
        <f>C47-I47</f>
        <v>0</v>
      </c>
      <c r="P47" s="39">
        <f>D47-J47</f>
        <v>0</v>
      </c>
      <c r="Q47" s="39">
        <f>SUM(N47:P47)</f>
        <v>0</v>
      </c>
    </row>
    <row r="48" ht="15" customHeight="1">
      <c r="A48" s="36" t="str">
        <v>December</v>
      </c>
      <c r="B48" s="37">
        <v>0</v>
      </c>
      <c r="C48" s="37">
        <v>0</v>
      </c>
      <c r="D48" s="37">
        <v>0</v>
      </c>
      <c r="E48" s="37">
        <f>SUM(B48:D48)</f>
        <v>0</v>
      </c>
      <c r="G48" s="36" t="str">
        <v>December</v>
      </c>
      <c r="H48" s="37">
        <v>0</v>
      </c>
      <c r="I48" s="37">
        <v>0</v>
      </c>
      <c r="J48" s="37">
        <v>0</v>
      </c>
      <c r="K48" s="37">
        <f>SUM(H48:J48)</f>
        <v>0</v>
      </c>
      <c r="M48" s="36" t="str">
        <v>December</v>
      </c>
      <c r="N48" s="37">
        <f>B48-H48</f>
        <v>0</v>
      </c>
      <c r="O48" s="37">
        <f>C48-I48</f>
        <v>0</v>
      </c>
      <c r="P48" s="37">
        <f>D48-J48</f>
        <v>0</v>
      </c>
      <c r="Q48" s="37">
        <f>SUM(N48:P48)</f>
        <v>0</v>
      </c>
    </row>
    <row r="49" ht="15" customHeight="1">
      <c r="A49" s="38" t="str">
        <v>January</v>
      </c>
      <c r="B49" s="39">
        <v>0</v>
      </c>
      <c r="C49" s="39">
        <v>0</v>
      </c>
      <c r="D49" s="39">
        <v>0</v>
      </c>
      <c r="E49" s="39">
        <f>SUM(B49:D49)</f>
        <v>0</v>
      </c>
      <c r="G49" s="38" t="str">
        <v>January</v>
      </c>
      <c r="H49" s="39">
        <v>0</v>
      </c>
      <c r="I49" s="39">
        <v>0</v>
      </c>
      <c r="J49" s="39">
        <v>0</v>
      </c>
      <c r="K49" s="39">
        <f>SUM(H49:J49)</f>
        <v>0</v>
      </c>
      <c r="M49" s="38" t="str">
        <v>January</v>
      </c>
      <c r="N49" s="39">
        <f>B49-H49</f>
        <v>0</v>
      </c>
      <c r="O49" s="39">
        <f>C49-I49</f>
        <v>0</v>
      </c>
      <c r="P49" s="39">
        <f>D49-J49</f>
        <v>0</v>
      </c>
      <c r="Q49" s="39">
        <f>SUM(N49:P49)</f>
        <v>0</v>
      </c>
    </row>
    <row r="50" ht="15" customHeight="1">
      <c r="A50" s="36" t="str">
        <v>February</v>
      </c>
      <c r="B50" s="37">
        <v>0</v>
      </c>
      <c r="C50" s="37">
        <v>0</v>
      </c>
      <c r="D50" s="37">
        <v>0</v>
      </c>
      <c r="E50" s="37">
        <f>SUM(B50:D50)</f>
        <v>0</v>
      </c>
      <c r="G50" s="36" t="str">
        <v>February</v>
      </c>
      <c r="H50" s="37">
        <v>0</v>
      </c>
      <c r="I50" s="37">
        <v>0</v>
      </c>
      <c r="J50" s="37">
        <v>0</v>
      </c>
      <c r="K50" s="37">
        <f>SUM(H50:J50)</f>
        <v>0</v>
      </c>
      <c r="M50" s="36" t="str">
        <v>February</v>
      </c>
      <c r="N50" s="37">
        <f>B50-H50</f>
        <v>0</v>
      </c>
      <c r="O50" s="37">
        <f>C50-I50</f>
        <v>0</v>
      </c>
      <c r="P50" s="37">
        <f>D50-J50</f>
        <v>0</v>
      </c>
      <c r="Q50" s="37">
        <f>SUM(N50:P50)</f>
        <v>0</v>
      </c>
    </row>
    <row r="51" ht="15" customHeight="1">
      <c r="A51" s="38" t="str">
        <v>March</v>
      </c>
      <c r="B51" s="39">
        <v>0</v>
      </c>
      <c r="C51" s="39">
        <v>0</v>
      </c>
      <c r="D51" s="39">
        <v>0</v>
      </c>
      <c r="E51" s="39">
        <f>SUM(B51:D51)</f>
        <v>0</v>
      </c>
      <c r="G51" s="38" t="str">
        <v>March</v>
      </c>
      <c r="H51" s="39">
        <v>0</v>
      </c>
      <c r="I51" s="39">
        <v>0</v>
      </c>
      <c r="J51" s="39">
        <v>0</v>
      </c>
      <c r="K51" s="39">
        <f>SUM(H51:J51)</f>
        <v>0</v>
      </c>
      <c r="M51" s="38" t="str">
        <v>March</v>
      </c>
      <c r="N51" s="39">
        <f>B51-H51</f>
        <v>0</v>
      </c>
      <c r="O51" s="39">
        <f>C51-I51</f>
        <v>0</v>
      </c>
      <c r="P51" s="39">
        <f>D51-J51</f>
        <v>0</v>
      </c>
      <c r="Q51" s="39">
        <f>SUM(N51:P51)</f>
        <v>0</v>
      </c>
    </row>
    <row r="52" ht="15" customHeight="1">
      <c r="A52" s="40" t="str">
        <v>TOTAL</v>
      </c>
      <c r="B52" s="41">
        <f>SUM(B40:B51)</f>
        <v>4000</v>
      </c>
      <c r="C52" s="41">
        <f>SUM(C40:C51)</f>
        <v>4000</v>
      </c>
      <c r="D52" s="41">
        <f>SUM(D40:D51)</f>
        <v>0</v>
      </c>
      <c r="E52" s="41">
        <f>SUM(E40:E51)</f>
        <v>8000</v>
      </c>
      <c r="G52" s="40" t="str">
        <v>TOTAL</v>
      </c>
      <c r="H52" s="41">
        <f>SUM(H40:H51)</f>
        <v>0</v>
      </c>
      <c r="I52" s="41">
        <f>SUM(I40:I51)</f>
        <v>0</v>
      </c>
      <c r="J52" s="41">
        <f>SUM(J40:J51)</f>
        <v>0</v>
      </c>
      <c r="K52" s="41">
        <f>SUM(K40:K51)</f>
        <v>0</v>
      </c>
      <c r="M52" s="40" t="str">
        <v>TOTAL</v>
      </c>
      <c r="N52" s="41">
        <f>SUM(N40:N51)</f>
        <v>4000</v>
      </c>
      <c r="O52" s="41">
        <f>SUM(O40:O51)</f>
        <v>4000</v>
      </c>
      <c r="P52" s="41">
        <f>SUM(P40:P51)</f>
        <v>0</v>
      </c>
      <c r="Q52" s="41">
        <f>SUM(Q40:Q51)</f>
        <v>8000</v>
      </c>
    </row>
  </sheetData>
  <mergeCells count="14">
    <mergeCell ref="A1:H1"/>
    <mergeCell ref="A2:H2"/>
    <mergeCell ref="A3:Q3"/>
    <mergeCell ref="A4:E4"/>
    <mergeCell ref="G4:K4"/>
    <mergeCell ref="M4:Q4"/>
    <mergeCell ref="A20:Q20"/>
    <mergeCell ref="A21:E21"/>
    <mergeCell ref="G21:K21"/>
    <mergeCell ref="M21:Q21"/>
    <mergeCell ref="A37:Q37"/>
    <mergeCell ref="A38:E38"/>
    <mergeCell ref="G38:K38"/>
    <mergeCell ref="M38:Q38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</hyperlinks>
  <ignoredErrors>
    <ignoredError numberStoredAsText="1" sqref="A1:Q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9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3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  <col min="10" max="10" width="3.83203125" customWidth="1"/>
    <col min="11" max="11" width="12.83203125" customWidth="1"/>
    <col min="12" max="12" width="10.83203125" customWidth="1"/>
    <col min="13" max="13" width="10.83203125" customWidth="1"/>
    <col min="14" max="14" width="10.83203125" customWidth="1"/>
  </cols>
  <sheetData>
    <row r="1" ht="15" customHeight="1">
      <c r="A1" s="19" t="str">
        <v>TEST COMPANY - MONTHLY TAX COMPARISON FY</v>
      </c>
      <c r="I1" s="27" t="str">
        <v>🏠 Home</v>
      </c>
      <c r="J1" s="27" t="str">
        <v>📊 Summary</v>
      </c>
      <c r="K1" s="27" t="str">
        <v>📅 Tax Comp</v>
      </c>
      <c r="L1" s="28" t="str">
        <v>🗓️ Tax Comp FY</v>
      </c>
      <c r="M1" s="27" t="str">
        <v>🏢 Partywise Monthly</v>
      </c>
      <c r="N1" s="27" t="str">
        <v>⚠️ Party Mismatches</v>
      </c>
    </row>
    <row r="2" ht="15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30" t="str">
        <v/>
      </c>
      <c r="M2" s="29" t="str">
        <v/>
      </c>
      <c r="N2" s="29" t="str">
        <v/>
      </c>
    </row>
    <row r="3" ht="20" customHeight="1">
      <c r="A3" s="43" t="str">
        <v>2B</v>
      </c>
      <c r="F3" s="44" t="str">
        <v>JV+Purchase</v>
      </c>
      <c r="K3" s="45" t="str">
        <v>Difference</v>
      </c>
    </row>
    <row r="4" ht="18" customHeight="1">
      <c r="A4" s="35" t="str">
        <v>MONTHS</v>
      </c>
      <c r="B4" s="35" t="str">
        <v>CGST</v>
      </c>
      <c r="C4" s="35" t="str">
        <v>SGST</v>
      </c>
      <c r="D4" s="35" t="str">
        <v>IGST</v>
      </c>
      <c r="F4" s="35" t="str">
        <v>Month</v>
      </c>
      <c r="G4" s="35" t="str">
        <v>CGST</v>
      </c>
      <c r="H4" s="35" t="str">
        <v>SGST</v>
      </c>
      <c r="I4" s="35" t="str">
        <v>IGST</v>
      </c>
      <c r="K4" s="35" t="str">
        <v>MONTHS</v>
      </c>
      <c r="L4" s="35" t="str">
        <v>CGST</v>
      </c>
      <c r="M4" s="35" t="str">
        <v>SGST</v>
      </c>
      <c r="N4" s="35" t="str">
        <v>IGST</v>
      </c>
    </row>
    <row r="5" ht="15" customHeight="1">
      <c r="A5" s="38" t="str">
        <v>April</v>
      </c>
      <c r="B5" s="39">
        <v>0</v>
      </c>
      <c r="C5" s="39">
        <v>0</v>
      </c>
      <c r="D5" s="39">
        <v>0</v>
      </c>
      <c r="F5" s="38" t="str">
        <v>April</v>
      </c>
      <c r="G5" s="39">
        <v>9000</v>
      </c>
      <c r="H5" s="39">
        <v>9000</v>
      </c>
      <c r="I5" s="39">
        <v>0</v>
      </c>
      <c r="K5" s="38" t="str">
        <v>April</v>
      </c>
      <c r="L5" s="39">
        <f>G5-B5</f>
        <v>9000</v>
      </c>
      <c r="M5" s="39">
        <f>H5-C5</f>
        <v>9000</v>
      </c>
      <c r="N5" s="39">
        <f>I5-D5</f>
        <v>0</v>
      </c>
    </row>
    <row r="6" ht="15" customHeight="1">
      <c r="A6" s="36" t="str">
        <v>May</v>
      </c>
      <c r="B6" s="37">
        <v>4000</v>
      </c>
      <c r="C6" s="37">
        <v>4000</v>
      </c>
      <c r="D6" s="37">
        <v>0</v>
      </c>
      <c r="F6" s="36" t="str">
        <v>May</v>
      </c>
      <c r="G6" s="37">
        <v>4500</v>
      </c>
      <c r="H6" s="37">
        <v>4500</v>
      </c>
      <c r="I6" s="37">
        <v>0</v>
      </c>
      <c r="K6" s="36" t="str">
        <v>May</v>
      </c>
      <c r="L6" s="37">
        <f>G6-B6</f>
        <v>500</v>
      </c>
      <c r="M6" s="37">
        <f>H6-C6</f>
        <v>500</v>
      </c>
      <c r="N6" s="37">
        <f>I6-D6</f>
        <v>0</v>
      </c>
    </row>
    <row r="7" ht="15" customHeight="1">
      <c r="A7" s="38" t="str">
        <v>June</v>
      </c>
      <c r="B7" s="39">
        <v>0</v>
      </c>
      <c r="C7" s="39">
        <v>0</v>
      </c>
      <c r="D7" s="39">
        <v>0</v>
      </c>
      <c r="F7" s="38" t="str">
        <v>June</v>
      </c>
      <c r="G7" s="39">
        <v>0</v>
      </c>
      <c r="H7" s="39">
        <v>0</v>
      </c>
      <c r="I7" s="39">
        <v>0</v>
      </c>
      <c r="K7" s="38" t="str">
        <v>June</v>
      </c>
      <c r="L7" s="39">
        <f>G7-B7</f>
        <v>0</v>
      </c>
      <c r="M7" s="39">
        <f>H7-C7</f>
        <v>0</v>
      </c>
      <c r="N7" s="39">
        <f>I7-D7</f>
        <v>0</v>
      </c>
    </row>
    <row r="8" ht="15" customHeight="1">
      <c r="A8" s="36" t="str">
        <v>July</v>
      </c>
      <c r="B8" s="37">
        <v>0</v>
      </c>
      <c r="C8" s="37">
        <v>0</v>
      </c>
      <c r="D8" s="37">
        <v>0</v>
      </c>
      <c r="F8" s="36" t="str">
        <v>July</v>
      </c>
      <c r="G8" s="37">
        <v>0</v>
      </c>
      <c r="H8" s="37">
        <v>0</v>
      </c>
      <c r="I8" s="37">
        <v>0</v>
      </c>
      <c r="K8" s="36" t="str">
        <v>July</v>
      </c>
      <c r="L8" s="37">
        <f>G8-B8</f>
        <v>0</v>
      </c>
      <c r="M8" s="37">
        <f>H8-C8</f>
        <v>0</v>
      </c>
      <c r="N8" s="37">
        <f>I8-D8</f>
        <v>0</v>
      </c>
    </row>
    <row r="9" ht="15" customHeight="1">
      <c r="A9" s="38" t="str">
        <v>August</v>
      </c>
      <c r="B9" s="39">
        <v>0</v>
      </c>
      <c r="C9" s="39">
        <v>0</v>
      </c>
      <c r="D9" s="39">
        <v>0</v>
      </c>
      <c r="F9" s="38" t="str">
        <v>August</v>
      </c>
      <c r="G9" s="39">
        <v>0</v>
      </c>
      <c r="H9" s="39">
        <v>0</v>
      </c>
      <c r="I9" s="39">
        <v>0</v>
      </c>
      <c r="K9" s="38" t="str">
        <v>August</v>
      </c>
      <c r="L9" s="39">
        <f>G9-B9</f>
        <v>0</v>
      </c>
      <c r="M9" s="39">
        <f>H9-C9</f>
        <v>0</v>
      </c>
      <c r="N9" s="39">
        <f>I9-D9</f>
        <v>0</v>
      </c>
    </row>
    <row r="10" ht="15" customHeight="1">
      <c r="A10" s="36" t="str">
        <v>September</v>
      </c>
      <c r="B10" s="37">
        <v>0</v>
      </c>
      <c r="C10" s="37">
        <v>0</v>
      </c>
      <c r="D10" s="37">
        <v>0</v>
      </c>
      <c r="F10" s="36" t="str">
        <v>September</v>
      </c>
      <c r="G10" s="37">
        <v>0</v>
      </c>
      <c r="H10" s="37">
        <v>0</v>
      </c>
      <c r="I10" s="37">
        <v>0</v>
      </c>
      <c r="K10" s="36" t="str">
        <v>September</v>
      </c>
      <c r="L10" s="37">
        <f>G10-B10</f>
        <v>0</v>
      </c>
      <c r="M10" s="37">
        <f>H10-C10</f>
        <v>0</v>
      </c>
      <c r="N10" s="37">
        <f>I10-D10</f>
        <v>0</v>
      </c>
    </row>
    <row r="11" ht="15" customHeight="1">
      <c r="A11" s="38" t="str">
        <v>October</v>
      </c>
      <c r="B11" s="39">
        <v>0</v>
      </c>
      <c r="C11" s="39">
        <v>0</v>
      </c>
      <c r="D11" s="39">
        <v>0</v>
      </c>
      <c r="F11" s="38" t="str">
        <v>October</v>
      </c>
      <c r="G11" s="39">
        <v>0</v>
      </c>
      <c r="H11" s="39">
        <v>0</v>
      </c>
      <c r="I11" s="39">
        <v>0</v>
      </c>
      <c r="K11" s="38" t="str">
        <v>October</v>
      </c>
      <c r="L11" s="39">
        <f>G11-B11</f>
        <v>0</v>
      </c>
      <c r="M11" s="39">
        <f>H11-C11</f>
        <v>0</v>
      </c>
      <c r="N11" s="39">
        <f>I11-D11</f>
        <v>0</v>
      </c>
    </row>
    <row r="12" ht="15" customHeight="1">
      <c r="A12" s="36" t="str">
        <v>November</v>
      </c>
      <c r="B12" s="37">
        <v>0</v>
      </c>
      <c r="C12" s="37">
        <v>0</v>
      </c>
      <c r="D12" s="37">
        <v>0</v>
      </c>
      <c r="F12" s="36" t="str">
        <v>November</v>
      </c>
      <c r="G12" s="37">
        <v>0</v>
      </c>
      <c r="H12" s="37">
        <v>0</v>
      </c>
      <c r="I12" s="37">
        <v>0</v>
      </c>
      <c r="K12" s="36" t="str">
        <v>November</v>
      </c>
      <c r="L12" s="37">
        <f>G12-B12</f>
        <v>0</v>
      </c>
      <c r="M12" s="37">
        <f>H12-C12</f>
        <v>0</v>
      </c>
      <c r="N12" s="37">
        <f>I12-D12</f>
        <v>0</v>
      </c>
    </row>
    <row r="13" ht="15" customHeight="1">
      <c r="A13" s="38" t="str">
        <v>December</v>
      </c>
      <c r="B13" s="39">
        <v>0</v>
      </c>
      <c r="C13" s="39">
        <v>0</v>
      </c>
      <c r="D13" s="39">
        <v>0</v>
      </c>
      <c r="F13" s="38" t="str">
        <v>December</v>
      </c>
      <c r="G13" s="39">
        <v>0</v>
      </c>
      <c r="H13" s="39">
        <v>0</v>
      </c>
      <c r="I13" s="39">
        <v>0</v>
      </c>
      <c r="K13" s="38" t="str">
        <v>December</v>
      </c>
      <c r="L13" s="39">
        <f>G13-B13</f>
        <v>0</v>
      </c>
      <c r="M13" s="39">
        <f>H13-C13</f>
        <v>0</v>
      </c>
      <c r="N13" s="39">
        <f>I13-D13</f>
        <v>0</v>
      </c>
    </row>
    <row r="14" ht="15" customHeight="1">
      <c r="A14" s="36" t="str">
        <v>January</v>
      </c>
      <c r="B14" s="37">
        <v>0</v>
      </c>
      <c r="C14" s="37">
        <v>0</v>
      </c>
      <c r="D14" s="37">
        <v>0</v>
      </c>
      <c r="F14" s="36" t="str">
        <v>January</v>
      </c>
      <c r="G14" s="37">
        <v>0</v>
      </c>
      <c r="H14" s="37">
        <v>0</v>
      </c>
      <c r="I14" s="37">
        <v>0</v>
      </c>
      <c r="K14" s="36" t="str">
        <v>January</v>
      </c>
      <c r="L14" s="37">
        <f>G14-B14</f>
        <v>0</v>
      </c>
      <c r="M14" s="37">
        <f>H14-C14</f>
        <v>0</v>
      </c>
      <c r="N14" s="37">
        <f>I14-D14</f>
        <v>0</v>
      </c>
    </row>
    <row r="15" ht="15" customHeight="1">
      <c r="A15" s="38" t="str">
        <v>February</v>
      </c>
      <c r="B15" s="39">
        <v>0</v>
      </c>
      <c r="C15" s="39">
        <v>0</v>
      </c>
      <c r="D15" s="39">
        <v>0</v>
      </c>
      <c r="F15" s="38" t="str">
        <v>February</v>
      </c>
      <c r="G15" s="39">
        <v>0</v>
      </c>
      <c r="H15" s="39">
        <v>0</v>
      </c>
      <c r="I15" s="39">
        <v>0</v>
      </c>
      <c r="K15" s="38" t="str">
        <v>February</v>
      </c>
      <c r="L15" s="39">
        <f>G15-B15</f>
        <v>0</v>
      </c>
      <c r="M15" s="39">
        <f>H15-C15</f>
        <v>0</v>
      </c>
      <c r="N15" s="39">
        <f>I15-D15</f>
        <v>0</v>
      </c>
    </row>
    <row r="16" ht="15" customHeight="1">
      <c r="A16" s="36" t="str">
        <v>March</v>
      </c>
      <c r="B16" s="37">
        <v>0</v>
      </c>
      <c r="C16" s="37">
        <v>0</v>
      </c>
      <c r="D16" s="37">
        <v>0</v>
      </c>
      <c r="F16" s="36" t="str">
        <v>March</v>
      </c>
      <c r="G16" s="37">
        <v>0</v>
      </c>
      <c r="H16" s="37">
        <v>0</v>
      </c>
      <c r="I16" s="37">
        <v>0</v>
      </c>
      <c r="K16" s="36" t="str">
        <v>March</v>
      </c>
      <c r="L16" s="37">
        <f>G16-B16</f>
        <v>0</v>
      </c>
      <c r="M16" s="37">
        <f>H16-C16</f>
        <v>0</v>
      </c>
      <c r="N16" s="37">
        <f>I16-D16</f>
        <v>0</v>
      </c>
    </row>
    <row r="17" ht="15" customHeight="1">
      <c r="A17" s="40" t="str">
        <v>TOTAL</v>
      </c>
      <c r="B17" s="41">
        <f>SUM(B5:B16)</f>
        <v>4000</v>
      </c>
      <c r="C17" s="41">
        <f>SUM(C5:C16)</f>
        <v>4000</v>
      </c>
      <c r="D17" s="41">
        <f>SUM(D5:D16)</f>
        <v>0</v>
      </c>
      <c r="F17" s="40" t="str">
        <v>TOTAL</v>
      </c>
      <c r="G17" s="41">
        <f>SUM(G5:G16)</f>
        <v>13500</v>
      </c>
      <c r="H17" s="41">
        <f>SUM(H5:H16)</f>
        <v>13500</v>
      </c>
      <c r="I17" s="41">
        <f>SUM(I5:I16)</f>
        <v>0</v>
      </c>
      <c r="K17" s="40" t="str">
        <v>TOTAL</v>
      </c>
      <c r="L17" s="41">
        <f>SUM(L5:L16)</f>
        <v>9500</v>
      </c>
      <c r="M17" s="41">
        <f>SUM(M5:M16)</f>
        <v>9500</v>
      </c>
      <c r="N17" s="41">
        <f>SUM(N5:N16)</f>
        <v>0</v>
      </c>
    </row>
    <row r="18" ht="15" customHeight="1"/>
    <row r="19" ht="15" customHeight="1"/>
    <row r="20" ht="15" customHeight="1"/>
    <row r="21" ht="22" customHeight="1">
      <c r="A21" s="46" t="str">
        <v>MONTHLY RECONCILIATION TO PARTY SUMMARY (TIMING DIFFERENCES ANALYSIS)</v>
      </c>
    </row>
    <row r="22" ht="18" customHeight="1">
      <c r="A22" s="35" t="str">
        <v>Month</v>
      </c>
      <c r="B22" s="35" t="str">
        <v>Tax Type</v>
      </c>
      <c r="C22" s="35" t="str">
        <v>Month-wise Difference</v>
      </c>
      <c r="D22" s="35" t="str">
        <v>Less: Timing Out (Books here, Portal later)</v>
      </c>
      <c r="E22" s="35" t="str">
        <v>Add: Timing In (Portal here, Books earlier)</v>
      </c>
      <c r="F22" s="35" t="str">
        <v>Reconciled Party Difference</v>
      </c>
    </row>
    <row r="23" ht="15" customHeight="1">
      <c r="A23" s="38" t="str">
        <v>April</v>
      </c>
      <c r="B23" s="38" t="str">
        <v>CGST</v>
      </c>
      <c r="C23" s="39">
        <f>L5</f>
      </c>
      <c r="D23" s="39">
        <v>0</v>
      </c>
      <c r="E23" s="39">
        <v>0</v>
      </c>
      <c r="F23" s="39">
        <f>C23-D23+E23</f>
      </c>
    </row>
    <row r="24" ht="15" customHeight="1">
      <c r="A24" s="36" t="str">
        <v>April</v>
      </c>
      <c r="B24" s="36" t="str">
        <v>SGST</v>
      </c>
      <c r="C24" s="37">
        <f>M5</f>
      </c>
      <c r="D24" s="37">
        <v>0</v>
      </c>
      <c r="E24" s="37">
        <v>0</v>
      </c>
      <c r="F24" s="37">
        <f>C24-D24+E24</f>
      </c>
    </row>
    <row r="25" ht="15" customHeight="1">
      <c r="A25" s="38" t="str">
        <v>April</v>
      </c>
      <c r="B25" s="38" t="str">
        <v>IGST</v>
      </c>
      <c r="C25" s="39">
        <f>N5</f>
      </c>
      <c r="D25" s="39">
        <v>0</v>
      </c>
      <c r="E25" s="39">
        <v>0</v>
      </c>
      <c r="F25" s="39">
        <f>C25-D25+E25</f>
      </c>
    </row>
    <row r="26" ht="15" customHeight="1">
      <c r="A26" s="36" t="str">
        <v>May</v>
      </c>
      <c r="B26" s="36" t="str">
        <v>CGST</v>
      </c>
      <c r="C26" s="37">
        <f>L6</f>
      </c>
      <c r="D26" s="37">
        <v>0</v>
      </c>
      <c r="E26" s="37">
        <v>0</v>
      </c>
      <c r="F26" s="37">
        <f>C26-D26+E26</f>
      </c>
    </row>
    <row r="27" ht="15" customHeight="1">
      <c r="A27" s="38" t="str">
        <v>May</v>
      </c>
      <c r="B27" s="38" t="str">
        <v>SGST</v>
      </c>
      <c r="C27" s="39">
        <f>M6</f>
      </c>
      <c r="D27" s="39">
        <v>0</v>
      </c>
      <c r="E27" s="39">
        <v>0</v>
      </c>
      <c r="F27" s="39">
        <f>C27-D27+E27</f>
      </c>
    </row>
    <row r="28" ht="15" customHeight="1">
      <c r="A28" s="36" t="str">
        <v>May</v>
      </c>
      <c r="B28" s="36" t="str">
        <v>IGST</v>
      </c>
      <c r="C28" s="37">
        <f>N6</f>
      </c>
      <c r="D28" s="37">
        <v>0</v>
      </c>
      <c r="E28" s="37">
        <v>0</v>
      </c>
      <c r="F28" s="37">
        <f>C28-D28+E28</f>
      </c>
    </row>
    <row r="29" ht="15" customHeight="1">
      <c r="A29" s="38" t="str">
        <v>June</v>
      </c>
      <c r="B29" s="38" t="str">
        <v>CGST</v>
      </c>
      <c r="C29" s="39">
        <f>L7</f>
      </c>
      <c r="D29" s="39">
        <v>0</v>
      </c>
      <c r="E29" s="39">
        <v>0</v>
      </c>
      <c r="F29" s="39">
        <f>C29-D29+E29</f>
      </c>
    </row>
    <row r="30" ht="15" customHeight="1">
      <c r="A30" s="36" t="str">
        <v>June</v>
      </c>
      <c r="B30" s="36" t="str">
        <v>SGST</v>
      </c>
      <c r="C30" s="37">
        <f>M7</f>
      </c>
      <c r="D30" s="37">
        <v>0</v>
      </c>
      <c r="E30" s="37">
        <v>0</v>
      </c>
      <c r="F30" s="37">
        <f>C30-D30+E30</f>
      </c>
    </row>
    <row r="31" ht="15" customHeight="1">
      <c r="A31" s="38" t="str">
        <v>June</v>
      </c>
      <c r="B31" s="38" t="str">
        <v>IGST</v>
      </c>
      <c r="C31" s="39">
        <f>N7</f>
      </c>
      <c r="D31" s="39">
        <v>0</v>
      </c>
      <c r="E31" s="39">
        <v>0</v>
      </c>
      <c r="F31" s="39">
        <f>C31-D31+E31</f>
      </c>
    </row>
    <row r="32" ht="15" customHeight="1">
      <c r="A32" s="36" t="str">
        <v>July</v>
      </c>
      <c r="B32" s="36" t="str">
        <v>CGST</v>
      </c>
      <c r="C32" s="37">
        <f>L8</f>
      </c>
      <c r="D32" s="37">
        <v>0</v>
      </c>
      <c r="E32" s="37">
        <v>0</v>
      </c>
      <c r="F32" s="37">
        <f>C32-D32+E32</f>
      </c>
    </row>
    <row r="33" ht="15" customHeight="1">
      <c r="A33" s="38" t="str">
        <v>July</v>
      </c>
      <c r="B33" s="38" t="str">
        <v>SGST</v>
      </c>
      <c r="C33" s="39">
        <f>M8</f>
      </c>
      <c r="D33" s="39">
        <v>0</v>
      </c>
      <c r="E33" s="39">
        <v>0</v>
      </c>
      <c r="F33" s="39">
        <f>C33-D33+E33</f>
      </c>
    </row>
    <row r="34" ht="15" customHeight="1">
      <c r="A34" s="36" t="str">
        <v>July</v>
      </c>
      <c r="B34" s="36" t="str">
        <v>IGST</v>
      </c>
      <c r="C34" s="37">
        <f>N8</f>
      </c>
      <c r="D34" s="37">
        <v>0</v>
      </c>
      <c r="E34" s="37">
        <v>0</v>
      </c>
      <c r="F34" s="37">
        <f>C34-D34+E34</f>
      </c>
    </row>
    <row r="35" ht="15" customHeight="1">
      <c r="A35" s="38" t="str">
        <v>August</v>
      </c>
      <c r="B35" s="38" t="str">
        <v>CGST</v>
      </c>
      <c r="C35" s="39">
        <f>L9</f>
      </c>
      <c r="D35" s="39">
        <v>0</v>
      </c>
      <c r="E35" s="39">
        <v>0</v>
      </c>
      <c r="F35" s="39">
        <f>C35-D35+E35</f>
      </c>
    </row>
    <row r="36" ht="15" customHeight="1">
      <c r="A36" s="36" t="str">
        <v>August</v>
      </c>
      <c r="B36" s="36" t="str">
        <v>SGST</v>
      </c>
      <c r="C36" s="37">
        <f>M9</f>
      </c>
      <c r="D36" s="37">
        <v>0</v>
      </c>
      <c r="E36" s="37">
        <v>0</v>
      </c>
      <c r="F36" s="37">
        <f>C36-D36+E36</f>
      </c>
    </row>
    <row r="37" ht="15" customHeight="1">
      <c r="A37" s="38" t="str">
        <v>August</v>
      </c>
      <c r="B37" s="38" t="str">
        <v>IGST</v>
      </c>
      <c r="C37" s="39">
        <f>N9</f>
      </c>
      <c r="D37" s="39">
        <v>0</v>
      </c>
      <c r="E37" s="39">
        <v>0</v>
      </c>
      <c r="F37" s="39">
        <f>C37-D37+E37</f>
      </c>
    </row>
    <row r="38" ht="15" customHeight="1">
      <c r="A38" s="36" t="str">
        <v>September</v>
      </c>
      <c r="B38" s="36" t="str">
        <v>CGST</v>
      </c>
      <c r="C38" s="37">
        <f>L10</f>
      </c>
      <c r="D38" s="37">
        <v>0</v>
      </c>
      <c r="E38" s="37">
        <v>0</v>
      </c>
      <c r="F38" s="37">
        <f>C38-D38+E38</f>
      </c>
    </row>
    <row r="39" ht="15" customHeight="1">
      <c r="A39" s="38" t="str">
        <v>September</v>
      </c>
      <c r="B39" s="38" t="str">
        <v>SGST</v>
      </c>
      <c r="C39" s="39">
        <f>M10</f>
      </c>
      <c r="D39" s="39">
        <v>0</v>
      </c>
      <c r="E39" s="39">
        <v>0</v>
      </c>
      <c r="F39" s="39">
        <f>C39-D39+E39</f>
      </c>
    </row>
    <row r="40" ht="15" customHeight="1">
      <c r="A40" s="36" t="str">
        <v>September</v>
      </c>
      <c r="B40" s="36" t="str">
        <v>IGST</v>
      </c>
      <c r="C40" s="37">
        <f>N10</f>
      </c>
      <c r="D40" s="37">
        <v>0</v>
      </c>
      <c r="E40" s="37">
        <v>0</v>
      </c>
      <c r="F40" s="37">
        <f>C40-D40+E40</f>
      </c>
    </row>
    <row r="41" ht="15" customHeight="1">
      <c r="A41" s="38" t="str">
        <v>October</v>
      </c>
      <c r="B41" s="38" t="str">
        <v>CGST</v>
      </c>
      <c r="C41" s="39">
        <f>L11</f>
      </c>
      <c r="D41" s="39">
        <v>0</v>
      </c>
      <c r="E41" s="39">
        <v>0</v>
      </c>
      <c r="F41" s="39">
        <f>C41-D41+E41</f>
      </c>
    </row>
    <row r="42" ht="15" customHeight="1">
      <c r="A42" s="36" t="str">
        <v>October</v>
      </c>
      <c r="B42" s="36" t="str">
        <v>SGST</v>
      </c>
      <c r="C42" s="37">
        <f>M11</f>
      </c>
      <c r="D42" s="37">
        <v>0</v>
      </c>
      <c r="E42" s="37">
        <v>0</v>
      </c>
      <c r="F42" s="37">
        <f>C42-D42+E42</f>
      </c>
    </row>
    <row r="43" ht="15" customHeight="1">
      <c r="A43" s="38" t="str">
        <v>October</v>
      </c>
      <c r="B43" s="38" t="str">
        <v>IGST</v>
      </c>
      <c r="C43" s="39">
        <f>N11</f>
      </c>
      <c r="D43" s="39">
        <v>0</v>
      </c>
      <c r="E43" s="39">
        <v>0</v>
      </c>
      <c r="F43" s="39">
        <f>C43-D43+E43</f>
      </c>
    </row>
    <row r="44" ht="15" customHeight="1">
      <c r="A44" s="36" t="str">
        <v>November</v>
      </c>
      <c r="B44" s="36" t="str">
        <v>CGST</v>
      </c>
      <c r="C44" s="37">
        <f>L12</f>
      </c>
      <c r="D44" s="37">
        <v>0</v>
      </c>
      <c r="E44" s="37">
        <v>0</v>
      </c>
      <c r="F44" s="37">
        <f>C44-D44+E44</f>
      </c>
    </row>
    <row r="45" ht="15" customHeight="1">
      <c r="A45" s="38" t="str">
        <v>November</v>
      </c>
      <c r="B45" s="38" t="str">
        <v>SGST</v>
      </c>
      <c r="C45" s="39">
        <f>M12</f>
      </c>
      <c r="D45" s="39">
        <v>0</v>
      </c>
      <c r="E45" s="39">
        <v>0</v>
      </c>
      <c r="F45" s="39">
        <f>C45-D45+E45</f>
      </c>
    </row>
    <row r="46" ht="15" customHeight="1">
      <c r="A46" s="36" t="str">
        <v>November</v>
      </c>
      <c r="B46" s="36" t="str">
        <v>IGST</v>
      </c>
      <c r="C46" s="37">
        <f>N12</f>
      </c>
      <c r="D46" s="37">
        <v>0</v>
      </c>
      <c r="E46" s="37">
        <v>0</v>
      </c>
      <c r="F46" s="37">
        <f>C46-D46+E46</f>
      </c>
    </row>
    <row r="47" ht="15" customHeight="1">
      <c r="A47" s="38" t="str">
        <v>December</v>
      </c>
      <c r="B47" s="38" t="str">
        <v>CGST</v>
      </c>
      <c r="C47" s="39">
        <f>L13</f>
      </c>
      <c r="D47" s="39">
        <v>0</v>
      </c>
      <c r="E47" s="39">
        <v>0</v>
      </c>
      <c r="F47" s="39">
        <f>C47-D47+E47</f>
      </c>
    </row>
    <row r="48" ht="15" customHeight="1">
      <c r="A48" s="36" t="str">
        <v>December</v>
      </c>
      <c r="B48" s="36" t="str">
        <v>SGST</v>
      </c>
      <c r="C48" s="37">
        <f>M13</f>
      </c>
      <c r="D48" s="37">
        <v>0</v>
      </c>
      <c r="E48" s="37">
        <v>0</v>
      </c>
      <c r="F48" s="37">
        <f>C48-D48+E48</f>
      </c>
    </row>
    <row r="49" ht="15" customHeight="1">
      <c r="A49" s="38" t="str">
        <v>December</v>
      </c>
      <c r="B49" s="38" t="str">
        <v>IGST</v>
      </c>
      <c r="C49" s="39">
        <f>N13</f>
      </c>
      <c r="D49" s="39">
        <v>0</v>
      </c>
      <c r="E49" s="39">
        <v>0</v>
      </c>
      <c r="F49" s="39">
        <f>C49-D49+E49</f>
      </c>
    </row>
    <row r="50" ht="15" customHeight="1">
      <c r="A50" s="36" t="str">
        <v>January</v>
      </c>
      <c r="B50" s="36" t="str">
        <v>CGST</v>
      </c>
      <c r="C50" s="37">
        <f>L14</f>
      </c>
      <c r="D50" s="37">
        <v>0</v>
      </c>
      <c r="E50" s="37">
        <v>0</v>
      </c>
      <c r="F50" s="37">
        <f>C50-D50+E50</f>
      </c>
    </row>
    <row r="51" ht="15" customHeight="1">
      <c r="A51" s="38" t="str">
        <v>January</v>
      </c>
      <c r="B51" s="38" t="str">
        <v>SGST</v>
      </c>
      <c r="C51" s="39">
        <f>M14</f>
      </c>
      <c r="D51" s="39">
        <v>0</v>
      </c>
      <c r="E51" s="39">
        <v>0</v>
      </c>
      <c r="F51" s="39">
        <f>C51-D51+E51</f>
      </c>
    </row>
    <row r="52" ht="15" customHeight="1">
      <c r="A52" s="36" t="str">
        <v>January</v>
      </c>
      <c r="B52" s="36" t="str">
        <v>IGST</v>
      </c>
      <c r="C52" s="37">
        <f>N14</f>
      </c>
      <c r="D52" s="37">
        <v>0</v>
      </c>
      <c r="E52" s="37">
        <v>0</v>
      </c>
      <c r="F52" s="37">
        <f>C52-D52+E52</f>
      </c>
    </row>
    <row r="53" ht="15" customHeight="1">
      <c r="A53" s="38" t="str">
        <v>February</v>
      </c>
      <c r="B53" s="38" t="str">
        <v>CGST</v>
      </c>
      <c r="C53" s="39">
        <f>L15</f>
      </c>
      <c r="D53" s="39">
        <v>0</v>
      </c>
      <c r="E53" s="39">
        <v>0</v>
      </c>
      <c r="F53" s="39">
        <f>C53-D53+E53</f>
      </c>
    </row>
    <row r="54" ht="15" customHeight="1">
      <c r="A54" s="36" t="str">
        <v>February</v>
      </c>
      <c r="B54" s="36" t="str">
        <v>SGST</v>
      </c>
      <c r="C54" s="37">
        <f>M15</f>
      </c>
      <c r="D54" s="37">
        <v>0</v>
      </c>
      <c r="E54" s="37">
        <v>0</v>
      </c>
      <c r="F54" s="37">
        <f>C54-D54+E54</f>
      </c>
    </row>
    <row r="55" ht="15" customHeight="1">
      <c r="A55" s="38" t="str">
        <v>February</v>
      </c>
      <c r="B55" s="38" t="str">
        <v>IGST</v>
      </c>
      <c r="C55" s="39">
        <f>N15</f>
      </c>
      <c r="D55" s="39">
        <v>0</v>
      </c>
      <c r="E55" s="39">
        <v>0</v>
      </c>
      <c r="F55" s="39">
        <f>C55-D55+E55</f>
      </c>
    </row>
    <row r="56" ht="15" customHeight="1">
      <c r="A56" s="36" t="str">
        <v>March</v>
      </c>
      <c r="B56" s="36" t="str">
        <v>CGST</v>
      </c>
      <c r="C56" s="37">
        <f>L16</f>
      </c>
      <c r="D56" s="37">
        <v>0</v>
      </c>
      <c r="E56" s="37">
        <v>0</v>
      </c>
      <c r="F56" s="37">
        <f>C56-D56+E56</f>
      </c>
    </row>
    <row r="57" ht="15" customHeight="1">
      <c r="A57" s="38" t="str">
        <v>March</v>
      </c>
      <c r="B57" s="38" t="str">
        <v>SGST</v>
      </c>
      <c r="C57" s="39">
        <f>M16</f>
      </c>
      <c r="D57" s="39">
        <v>0</v>
      </c>
      <c r="E57" s="39">
        <v>0</v>
      </c>
      <c r="F57" s="39">
        <f>C57-D57+E57</f>
      </c>
    </row>
    <row r="58" ht="15" customHeight="1">
      <c r="A58" s="36" t="str">
        <v>March</v>
      </c>
      <c r="B58" s="36" t="str">
        <v>IGST</v>
      </c>
      <c r="C58" s="37">
        <f>N16</f>
      </c>
      <c r="D58" s="37">
        <v>0</v>
      </c>
      <c r="E58" s="37">
        <v>0</v>
      </c>
      <c r="F58" s="37">
        <f>C58-D58+E58</f>
      </c>
    </row>
    <row r="59" ht="20" customHeight="1">
      <c r="A59" s="40" t="str">
        <v>TOTAL</v>
      </c>
      <c r="B59" s="40" t="str">
        <v/>
      </c>
      <c r="C59" s="41">
        <f>SUM(C23:C58)</f>
      </c>
      <c r="D59" s="41">
        <f>SUM(D23:D58)</f>
      </c>
      <c r="E59" s="41">
        <f>SUM(E23:E58)</f>
      </c>
      <c r="F59" s="41">
        <f>SUM(F23:F58)</f>
      </c>
    </row>
  </sheetData>
  <mergeCells count="6">
    <mergeCell ref="A1:H1"/>
    <mergeCell ref="A2:H2"/>
    <mergeCell ref="A3:D3"/>
    <mergeCell ref="F3:I3"/>
    <mergeCell ref="K3:N3"/>
    <mergeCell ref="A21:N21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</hyperlinks>
  <ignoredErrors>
    <ignoredError numberStoredAsText="1" sqref="A1:N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cols>
    <col min="1" max="1" width="16.83203125" customWidth="1"/>
    <col min="2" max="2" width="36.83203125" customWidth="1"/>
    <col min="3" max="3" width="22.83203125" customWidth="1"/>
    <col min="4" max="4" width="18.83203125" customWidth="1"/>
    <col min="5" max="5" width="16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 ht="26" customHeight="1">
      <c r="A1" s="19" t="str">
        <v>TEST COMPANY - PARTYWISE MONTHLY WORKING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8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30" t="str">
        <v/>
      </c>
      <c r="N2" s="29" t="str">
        <v/>
      </c>
      <c r="O2" s="29" t="str">
        <v/>
      </c>
      <c r="P2" s="29" t="str">
        <v/>
      </c>
      <c r="Q2" s="29" t="str">
        <v/>
      </c>
    </row>
    <row r="3" ht="18" customHeight="1">
      <c r="A3" s="47" t="str">
        <v>GSTIN</v>
      </c>
      <c r="B3" s="47" t="str">
        <v>Party Name</v>
      </c>
      <c r="C3" s="47" t="str">
        <v>Total Books Tax (PR)</v>
      </c>
      <c r="D3" s="47" t="str">
        <v>Total Portal Tax (2B)</v>
      </c>
      <c r="E3" s="47" t="str">
        <v>Net Difference</v>
      </c>
      <c r="F3" s="47" t="str">
        <v>Apr Diff</v>
      </c>
      <c r="G3" s="47" t="str">
        <v>May Diff</v>
      </c>
      <c r="H3" s="47" t="str">
        <v>Jun Diff</v>
      </c>
      <c r="I3" s="47" t="str">
        <v>Jul Diff</v>
      </c>
      <c r="J3" s="47" t="str">
        <v>Aug Diff</v>
      </c>
      <c r="K3" s="47" t="str">
        <v>Sep Diff</v>
      </c>
      <c r="L3" s="47" t="str">
        <v>Oct Diff</v>
      </c>
      <c r="M3" s="47" t="str">
        <v>Nov Diff</v>
      </c>
      <c r="N3" s="47" t="str">
        <v>Dec Diff</v>
      </c>
      <c r="O3" s="47" t="str">
        <v>Jan Diff</v>
      </c>
      <c r="P3" s="47" t="str">
        <v>Feb Diff</v>
      </c>
      <c r="Q3" s="47" t="str">
        <v>Mar Diff</v>
      </c>
    </row>
    <row r="4" ht="20" customHeight="1">
      <c r="A4" s="40" t="str">
        <v>GRAND TOTAL</v>
      </c>
      <c r="B4" s="40" t="str">
        <v/>
      </c>
      <c r="C4" s="41">
        <f>SUM(C5:C8)</f>
        <v>27000</v>
      </c>
      <c r="D4" s="41">
        <f>SUM(D5:D8)</f>
        <v>8000</v>
      </c>
      <c r="E4" s="41">
        <f>C4-D4</f>
        <v>19000</v>
      </c>
      <c r="F4" s="41">
        <f>SUM(F5:F8)</f>
        <v>18000</v>
      </c>
      <c r="G4" s="41">
        <f>SUM(G5:G8)</f>
        <v>1000</v>
      </c>
      <c r="H4" s="41">
        <f>SUM(H5:H8)</f>
        <v>0</v>
      </c>
      <c r="I4" s="41">
        <f>SUM(I5:I8)</f>
        <v>0</v>
      </c>
      <c r="J4" s="41">
        <f>SUM(J5:J8)</f>
        <v>0</v>
      </c>
      <c r="K4" s="41">
        <f>SUM(K5:K8)</f>
        <v>0</v>
      </c>
      <c r="L4" s="41">
        <f>SUM(L5:L8)</f>
        <v>0</v>
      </c>
      <c r="M4" s="41">
        <f>SUM(M5:M8)</f>
        <v>0</v>
      </c>
      <c r="N4" s="41">
        <f>SUM(N5:N8)</f>
        <v>0</v>
      </c>
      <c r="O4" s="41">
        <f>SUM(O5:O8)</f>
        <v>0</v>
      </c>
      <c r="P4" s="41">
        <f>SUM(P5:P8)</f>
        <v>0</v>
      </c>
      <c r="Q4" s="41">
        <f>SUM(Q5:Q8)</f>
        <v>0</v>
      </c>
    </row>
    <row r="5" ht="15" customHeight="1">
      <c r="A5" s="36" t="str">
        <v>27AAAAA0000A1Z5</v>
      </c>
      <c r="B5" s="48" t="str">
        <v>SUPPLIER A</v>
      </c>
      <c r="C5" s="37">
        <v>18000</v>
      </c>
      <c r="D5" s="37">
        <v>0</v>
      </c>
      <c r="E5" s="37">
        <f>C5-D5</f>
        <v>18000</v>
      </c>
      <c r="F5" s="37">
        <v>18000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</row>
    <row r="6" hidden="1" ht="16" customHeight="1" outlineLevel="1">
      <c r="B6" s="49" t="str">
        <v xml:space="preserve">   ↳ Inv: INV-101 (15-Apr-2025)</v>
      </c>
      <c r="C6" s="49" t="str">
        <v>Missing in 2B</v>
      </c>
      <c r="D6" s="49" t="str">
        <v>Taxable: ₹1,00,000.00 | CGST: ₹9,000.00 | SGST: ₹9,000.00 | IGST: ₹0.00</v>
      </c>
      <c r="E6" s="50">
        <v>18000</v>
      </c>
    </row>
    <row r="7" ht="15" customHeight="1">
      <c r="A7" s="36" t="str">
        <v>27BBBBB0000B1Z5</v>
      </c>
      <c r="B7" s="48" t="str">
        <v>SUPPLIER B</v>
      </c>
      <c r="C7" s="37">
        <v>9000</v>
      </c>
      <c r="D7" s="37">
        <v>8000</v>
      </c>
      <c r="E7" s="37">
        <f>C7-D7</f>
        <v>1000</v>
      </c>
      <c r="F7" s="37">
        <v>0</v>
      </c>
      <c r="G7" s="37">
        <v>1000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</row>
    <row r="8" hidden="1" ht="16" customHeight="1" outlineLevel="1">
      <c r="B8" s="49" t="str">
        <v xml:space="preserve">   ↳ Inv: INV-202 (20-May-2025)</v>
      </c>
      <c r="C8" s="49" t="str">
        <v>Value Mismatch</v>
      </c>
      <c r="D8" s="49" t="str">
        <v>Taxable: ₹50,000.00 | CGST: ₹4,500.00 | SGST: ₹4,500.00 | IGST: ₹0.00</v>
      </c>
      <c r="E8" s="50">
        <v>1000</v>
      </c>
    </row>
  </sheetData>
  <autoFilter ref="A3:Q8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</hyperlinks>
  <ignoredErrors>
    <ignoredError numberStoredAsText="1" sqref="A1:Q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6.83203125" customWidth="1"/>
    <col min="2" max="2" width="16.83203125" customWidth="1"/>
    <col min="3" max="3" width="28.83203125" customWidth="1"/>
    <col min="4" max="4" width="28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22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6.83203125" customWidth="1"/>
  </cols>
  <sheetData>
    <row r="1" ht="26" customHeight="1">
      <c r="A1" s="19" t="str">
        <v>TEST COMPANY - PARTYWISE MISMATCH INVOICES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8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30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</row>
    <row r="3" ht="18" customHeight="1">
      <c r="A3" s="47" t="str">
        <v>GSTIN (PR)</v>
      </c>
      <c r="B3" s="47" t="str">
        <v>GSTIN (2B)</v>
      </c>
      <c r="C3" s="47" t="str">
        <v>Party Name (PR)</v>
      </c>
      <c r="D3" s="47" t="str">
        <v>Party Name (2B)</v>
      </c>
      <c r="E3" s="47" t="str">
        <v>Invoice No (PR)</v>
      </c>
      <c r="F3" s="47" t="str">
        <v>Invoice No (2B)</v>
      </c>
      <c r="G3" s="47" t="str">
        <v>Invoice Date (PR)</v>
      </c>
      <c r="H3" s="47" t="str">
        <v>Invoice Date (2B)</v>
      </c>
      <c r="I3" s="47" t="str">
        <v>Match Status</v>
      </c>
      <c r="J3" s="47" t="str">
        <v>Invoice Value (PR)</v>
      </c>
      <c r="K3" s="47" t="str">
        <v>Invoice Value (2B)</v>
      </c>
      <c r="L3" s="47" t="str">
        <v>Taxable Value (PR)</v>
      </c>
      <c r="M3" s="47" t="str">
        <v>Taxable Value (2B)</v>
      </c>
      <c r="N3" s="47" t="str">
        <v>CGST (PR)</v>
      </c>
      <c r="O3" s="47" t="str">
        <v>CGST (2B)</v>
      </c>
      <c r="P3" s="47" t="str">
        <v>SGST (PR)</v>
      </c>
      <c r="Q3" s="47" t="str">
        <v>SGST (2B)</v>
      </c>
      <c r="R3" s="47" t="str">
        <v>IGST (PR)</v>
      </c>
      <c r="S3" s="47" t="str">
        <v>IGST (2B)</v>
      </c>
      <c r="T3" s="47" t="str">
        <v>Net Tax Diff</v>
      </c>
    </row>
    <row r="4" ht="20" customHeight="1">
      <c r="A4" s="40" t="str">
        <v>GRAND TOTAL</v>
      </c>
      <c r="B4" s="40" t="str">
        <v/>
      </c>
      <c r="C4" s="40" t="str">
        <v/>
      </c>
      <c r="D4" s="40" t="str">
        <v/>
      </c>
      <c r="E4" s="40" t="str">
        <v/>
      </c>
      <c r="F4" s="40" t="str">
        <v/>
      </c>
      <c r="G4" s="40" t="str">
        <v/>
      </c>
      <c r="H4" s="40" t="str">
        <v/>
      </c>
      <c r="I4" s="40" t="str">
        <v/>
      </c>
      <c r="J4" s="41">
        <f>SUM(J5:J6)</f>
        <v>0</v>
      </c>
      <c r="K4" s="41">
        <f>SUM(K5:K6)</f>
        <v>0</v>
      </c>
      <c r="L4" s="41">
        <f>SUM(L5:L6)</f>
        <v>0</v>
      </c>
      <c r="M4" s="41">
        <f>SUM(M5:M6)</f>
        <v>0</v>
      </c>
      <c r="N4" s="41">
        <f>SUM(N5:N6)</f>
        <v>0</v>
      </c>
      <c r="O4" s="41">
        <f>SUM(O5:O6)</f>
        <v>0</v>
      </c>
      <c r="P4" s="41">
        <f>SUM(P5:P6)</f>
        <v>0</v>
      </c>
      <c r="Q4" s="41">
        <f>SUM(Q5:Q6)</f>
        <v>0</v>
      </c>
      <c r="R4" s="41">
        <f>SUM(R5:R6)</f>
        <v>0</v>
      </c>
      <c r="S4" s="41">
        <f>SUM(S5:S6)</f>
        <v>0</v>
      </c>
      <c r="T4" s="41">
        <f>SUM(T5:T6)</f>
        <v>0</v>
      </c>
    </row>
    <row r="5" ht="15" customHeight="1">
      <c r="A5" s="48" t="str">
        <v>27AAAAA0000A1Z5</v>
      </c>
      <c r="B5" s="48" t="str">
        <v/>
      </c>
      <c r="C5" s="48" t="str">
        <v>SUPPLIER A</v>
      </c>
      <c r="D5" s="48" t="str">
        <v/>
      </c>
      <c r="E5" s="48" t="str">
        <v>INV-101</v>
      </c>
      <c r="F5" s="48" t="str">
        <v/>
      </c>
      <c r="G5" s="48" t="str">
        <v>15-Apr-2025</v>
      </c>
      <c r="H5" s="48" t="str">
        <v/>
      </c>
      <c r="I5" s="48" t="str">
        <v>Missing in 2B</v>
      </c>
      <c r="J5" s="37">
        <v>118000</v>
      </c>
      <c r="K5" s="37">
        <v>0</v>
      </c>
      <c r="L5" s="37">
        <v>100000</v>
      </c>
      <c r="M5" s="37">
        <v>0</v>
      </c>
      <c r="N5" s="37">
        <v>9000</v>
      </c>
      <c r="O5" s="37">
        <v>0</v>
      </c>
      <c r="P5" s="37">
        <v>9000</v>
      </c>
      <c r="Q5" s="37">
        <v>0</v>
      </c>
      <c r="R5" s="37">
        <v>0</v>
      </c>
      <c r="S5" s="37">
        <v>0</v>
      </c>
      <c r="T5" s="37">
        <v>18000</v>
      </c>
    </row>
    <row r="6" ht="15" customHeight="1">
      <c r="A6" s="51" t="str">
        <v>27BBBBB0000B1Z5</v>
      </c>
      <c r="B6" s="51" t="str">
        <v>27BBBBB0000B1Z5</v>
      </c>
      <c r="C6" s="51" t="str">
        <v>SUPPLIER B</v>
      </c>
      <c r="D6" s="51" t="str">
        <v>SUPPLIER B</v>
      </c>
      <c r="E6" s="51" t="str">
        <v>INV-202</v>
      </c>
      <c r="F6" s="51" t="str">
        <v>INV-202</v>
      </c>
      <c r="G6" s="51" t="str">
        <v>20-May-2025</v>
      </c>
      <c r="H6" s="51" t="str">
        <v>20-May-2025</v>
      </c>
      <c r="I6" s="51" t="str">
        <v>Value Mismatch</v>
      </c>
      <c r="J6" s="39">
        <v>59000</v>
      </c>
      <c r="K6" s="39">
        <v>58000</v>
      </c>
      <c r="L6" s="39">
        <v>50000</v>
      </c>
      <c r="M6" s="39">
        <v>50000</v>
      </c>
      <c r="N6" s="39">
        <v>4500</v>
      </c>
      <c r="O6" s="39">
        <v>4000</v>
      </c>
      <c r="P6" s="39">
        <v>4500</v>
      </c>
      <c r="Q6" s="39">
        <v>4000</v>
      </c>
      <c r="R6" s="39">
        <v>0</v>
      </c>
      <c r="S6" s="39">
        <v>0</v>
      </c>
      <c r="T6" s="39">
        <v>1000</v>
      </c>
    </row>
  </sheetData>
  <autoFilter ref="A3:T6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T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14.83203125" customWidth="1"/>
    <col min="2" max="2" width="14.83203125" customWidth="1"/>
    <col min="3" max="3" width="28.83203125" customWidth="1"/>
    <col min="4" max="4" width="2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8.83203125" customWidth="1"/>
  </cols>
  <sheetData>
    <row r="1" ht="26" customHeight="1">
      <c r="A1" s="19" t="str">
        <v>TEST COMPANY - PARTY MISMATCH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8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30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</row>
    <row r="3" ht="18" customHeight="1">
      <c r="A3" s="52" t="str">
        <v>Invoice Date (PR)</v>
      </c>
      <c r="B3" s="52" t="str">
        <v>Invoice Date (2B)</v>
      </c>
      <c r="C3" s="52" t="str">
        <v>Party Name (PR)</v>
      </c>
      <c r="D3" s="52" t="str">
        <v>Party Name (2B)</v>
      </c>
      <c r="E3" s="52" t="str">
        <v>GSTIN (PR)</v>
      </c>
      <c r="F3" s="52" t="str">
        <v>GSTIN (2B)</v>
      </c>
      <c r="G3" s="52" t="str">
        <v>Invoice No (PR)</v>
      </c>
      <c r="H3" s="52" t="str">
        <v>Invoice No (2B)</v>
      </c>
      <c r="I3" s="52" t="str">
        <v>Match Status</v>
      </c>
      <c r="J3" s="53" t="str">
        <v>Invoice Value (PR)</v>
      </c>
      <c r="K3" s="54" t="str">
        <v>Invoice Value (2B)</v>
      </c>
      <c r="L3" s="53" t="str">
        <v>Taxable Value (PR)</v>
      </c>
      <c r="M3" s="54" t="str">
        <v>Taxable Value (2B)</v>
      </c>
      <c r="N3" s="53" t="str">
        <v>CGST (PR)</v>
      </c>
      <c r="O3" s="54" t="str">
        <v>CGST (2B)</v>
      </c>
      <c r="P3" s="53" t="str">
        <v>SGST (PR)</v>
      </c>
      <c r="Q3" s="54" t="str">
        <v>SGST (2B)</v>
      </c>
      <c r="R3" s="53" t="str">
        <v>IGST (PR)</v>
      </c>
      <c r="S3" s="54" t="str">
        <v>IGST (2B)</v>
      </c>
      <c r="T3" s="55" t="str">
        <v>Tax Difference</v>
      </c>
    </row>
    <row r="4" ht="22" customHeight="1">
      <c r="A4" s="56" t="str">
        <v>GRAND TOTAL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f>SUM(J5:J9)</f>
        <v>0</v>
      </c>
      <c r="K4" s="57">
        <f>SUM(K5:K9)</f>
        <v>0</v>
      </c>
      <c r="L4" s="57">
        <f>SUM(L5:L9)</f>
        <v>0</v>
      </c>
      <c r="M4" s="57">
        <f>SUM(M5:M9)</f>
        <v>0</v>
      </c>
      <c r="N4" s="57">
        <f>SUM(N5:N9)</f>
        <v>0</v>
      </c>
      <c r="O4" s="57">
        <f>SUM(O5:O9)</f>
        <v>0</v>
      </c>
      <c r="P4" s="57">
        <f>SUM(P5:P9)</f>
        <v>0</v>
      </c>
      <c r="Q4" s="57">
        <f>SUM(Q5:Q9)</f>
        <v>0</v>
      </c>
      <c r="R4" s="57">
        <f>SUM(R5:R9)</f>
        <v>0</v>
      </c>
      <c r="S4" s="57">
        <f>SUM(S5:S9)</f>
        <v>0</v>
      </c>
      <c r="T4" s="57">
        <f>SUM(T5:T9)</f>
        <v>19000</v>
      </c>
    </row>
    <row r="5" ht="20" customHeight="1">
      <c r="A5" s="58" t="str">
        <v>🏢 27AAAAA0000A1Z5 - SUPPLIER A  (Party Net Difference: ₹18,000.00)</v>
      </c>
      <c r="B5" s="58" t="str">
        <v/>
      </c>
      <c r="C5" s="58" t="str">
        <v/>
      </c>
      <c r="D5" s="58" t="str">
        <v/>
      </c>
      <c r="E5" s="58" t="str">
        <v/>
      </c>
      <c r="F5" s="58" t="str">
        <v/>
      </c>
      <c r="G5" s="58" t="str">
        <v/>
      </c>
      <c r="H5" s="58" t="str">
        <v/>
      </c>
      <c r="I5" s="58" t="str">
        <v/>
      </c>
      <c r="J5" s="58" t="str">
        <v/>
      </c>
      <c r="K5" s="58" t="str">
        <v/>
      </c>
      <c r="L5" s="58" t="str">
        <v/>
      </c>
      <c r="M5" s="58" t="str">
        <v/>
      </c>
      <c r="N5" s="58" t="str">
        <v/>
      </c>
      <c r="O5" s="58" t="str">
        <v/>
      </c>
      <c r="P5" s="58" t="str">
        <v/>
      </c>
      <c r="Q5" s="58" t="str">
        <v/>
      </c>
      <c r="R5" s="58" t="str">
        <v/>
      </c>
      <c r="S5" s="58" t="str">
        <v/>
      </c>
      <c r="T5" s="58" t="str">
        <v/>
      </c>
    </row>
    <row r="6" ht="16" customHeight="1">
      <c r="A6" s="59" t="str">
        <v>15-Apr-2025</v>
      </c>
      <c r="B6" s="59" t="str">
        <v/>
      </c>
      <c r="C6" s="59" t="str">
        <v>SUPPLIER A</v>
      </c>
      <c r="D6" s="59" t="str">
        <v>SUPPLIER A</v>
      </c>
      <c r="E6" s="59" t="str">
        <v>27AAAAA0000A1Z5</v>
      </c>
      <c r="F6" s="59" t="str">
        <v>27AAAAA0000A1Z5</v>
      </c>
      <c r="G6" s="59" t="str">
        <v>INV-101</v>
      </c>
      <c r="H6" s="59" t="str">
        <v/>
      </c>
      <c r="I6" s="60" t="str">
        <v>Missing in 2B</v>
      </c>
      <c r="J6" s="61">
        <f>L6+N6+P6+R6</f>
        <v>118000</v>
      </c>
      <c r="K6" s="62">
        <f>M6+O6+Q6+S6</f>
        <v>0</v>
      </c>
      <c r="L6" s="61">
        <v>100000</v>
      </c>
      <c r="M6" s="62">
        <v>0</v>
      </c>
      <c r="N6" s="61">
        <v>9000</v>
      </c>
      <c r="O6" s="62">
        <v>0</v>
      </c>
      <c r="P6" s="61">
        <v>9000</v>
      </c>
      <c r="Q6" s="62">
        <v>0</v>
      </c>
      <c r="R6" s="61">
        <v>0</v>
      </c>
      <c r="S6" s="62">
        <v>0</v>
      </c>
      <c r="T6" s="63">
        <f>(N6+P6+R6)-(O6+Q6+S6)</f>
        <v>18000</v>
      </c>
    </row>
    <row r="7" ht="20" customHeight="1">
      <c r="A7" s="58" t="str">
        <v>🏢 27BBBBB0000B1Z5 - SUPPLIER B  (Party Net Difference: ₹1,000.00)</v>
      </c>
      <c r="B7" s="58" t="str">
        <v/>
      </c>
      <c r="C7" s="58" t="str">
        <v/>
      </c>
      <c r="D7" s="58" t="str">
        <v/>
      </c>
      <c r="E7" s="58" t="str">
        <v/>
      </c>
      <c r="F7" s="58" t="str">
        <v/>
      </c>
      <c r="G7" s="58" t="str">
        <v/>
      </c>
      <c r="H7" s="58" t="str">
        <v/>
      </c>
      <c r="I7" s="58" t="str">
        <v/>
      </c>
      <c r="J7" s="58" t="str">
        <v/>
      </c>
      <c r="K7" s="58" t="str">
        <v/>
      </c>
      <c r="L7" s="58" t="str">
        <v/>
      </c>
      <c r="M7" s="58" t="str">
        <v/>
      </c>
      <c r="N7" s="58" t="str">
        <v/>
      </c>
      <c r="O7" s="58" t="str">
        <v/>
      </c>
      <c r="P7" s="58" t="str">
        <v/>
      </c>
      <c r="Q7" s="58" t="str">
        <v/>
      </c>
      <c r="R7" s="58" t="str">
        <v/>
      </c>
      <c r="S7" s="58" t="str">
        <v/>
      </c>
      <c r="T7" s="58" t="str">
        <v/>
      </c>
    </row>
    <row r="8" ht="16" customHeight="1">
      <c r="A8" s="64" t="str">
        <v>20-May-2025</v>
      </c>
      <c r="B8" s="64" t="str">
        <v>20-May-2025</v>
      </c>
      <c r="C8" s="64" t="str">
        <v>SUPPLIER B</v>
      </c>
      <c r="D8" s="64" t="str">
        <v>SUPPLIER B</v>
      </c>
      <c r="E8" s="64" t="str">
        <v>27BBBBB0000B1Z5</v>
      </c>
      <c r="F8" s="64" t="str">
        <v>27BBBBB0000B1Z5</v>
      </c>
      <c r="G8" s="64" t="str">
        <v>INV-202</v>
      </c>
      <c r="H8" s="64" t="str">
        <v>INV-202</v>
      </c>
      <c r="I8" s="65" t="str">
        <v>Value Mismatch</v>
      </c>
      <c r="J8" s="61">
        <f>L8+N8+P8+R8</f>
        <v>59000</v>
      </c>
      <c r="K8" s="62">
        <f>M8+O8+Q8+S8</f>
        <v>58000</v>
      </c>
      <c r="L8" s="61">
        <v>50000</v>
      </c>
      <c r="M8" s="62">
        <v>50000</v>
      </c>
      <c r="N8" s="61">
        <v>4500</v>
      </c>
      <c r="O8" s="62">
        <v>4000</v>
      </c>
      <c r="P8" s="61">
        <v>4500</v>
      </c>
      <c r="Q8" s="62">
        <v>4000</v>
      </c>
      <c r="R8" s="61">
        <v>0</v>
      </c>
      <c r="S8" s="62">
        <v>0</v>
      </c>
      <c r="T8" s="66">
        <f>(N8+P8+R8)-(O8+Q8+S8)</f>
        <v>1000</v>
      </c>
    </row>
  </sheetData>
  <autoFilter ref="A3:T8"/>
  <mergeCells count="4">
    <mergeCell ref="A1:H1"/>
    <mergeCell ref="A2:H2"/>
    <mergeCell ref="A5:T5"/>
    <mergeCell ref="A7:T7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T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APRIL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16" customHeight="1">
      <c r="A4" s="71" t="str">
        <v>Missing in 2B</v>
      </c>
      <c r="B4" s="72" t="str">
        <v>27AAAAA0000A1Z5</v>
      </c>
      <c r="C4" s="72" t="str">
        <v/>
      </c>
      <c r="D4" s="72" t="str">
        <v>SUPPLIER A</v>
      </c>
      <c r="E4" s="72" t="str">
        <v/>
      </c>
      <c r="F4" s="72" t="str">
        <v>INV-101</v>
      </c>
      <c r="G4" s="72" t="str">
        <v/>
      </c>
      <c r="H4" s="72" t="str">
        <v>15-Apr-2025</v>
      </c>
      <c r="I4" s="72" t="str">
        <v/>
      </c>
      <c r="J4" s="61">
        <v>100000</v>
      </c>
      <c r="K4" s="62">
        <v>0</v>
      </c>
      <c r="L4" s="73">
        <v>100000</v>
      </c>
      <c r="M4" s="61">
        <v>9000</v>
      </c>
      <c r="N4" s="62">
        <v>0</v>
      </c>
      <c r="O4" s="73">
        <v>9000</v>
      </c>
      <c r="P4" s="61">
        <v>9000</v>
      </c>
      <c r="Q4" s="62">
        <v>0</v>
      </c>
      <c r="R4" s="73">
        <v>9000</v>
      </c>
      <c r="S4" s="61">
        <v>0</v>
      </c>
      <c r="T4" s="62">
        <v>0</v>
      </c>
      <c r="U4" s="73">
        <v>0</v>
      </c>
      <c r="V4" s="73">
        <v>18000</v>
      </c>
      <c r="W4" s="72" t="str">
        <v>Bill recorded in Books but missing/not uploaded by supplier in GSTR-2B</v>
      </c>
    </row>
    <row r="5" ht="22" customHeight="1">
      <c r="A5" s="56" t="str">
        <v>MONTHLY TOTAL</v>
      </c>
      <c r="B5" s="56" t="str">
        <v/>
      </c>
      <c r="C5" s="56" t="str">
        <v/>
      </c>
      <c r="D5" s="56" t="str">
        <v/>
      </c>
      <c r="E5" s="56" t="str">
        <v/>
      </c>
      <c r="F5" s="56" t="str">
        <v/>
      </c>
      <c r="G5" s="56" t="str">
        <v/>
      </c>
      <c r="H5" s="56" t="str">
        <v/>
      </c>
      <c r="I5" s="56" t="str">
        <v/>
      </c>
      <c r="J5" s="57">
        <f>SUM(J4:J4)</f>
      </c>
      <c r="K5" s="57">
        <f>SUM(K4:K4)</f>
      </c>
      <c r="L5" s="57">
        <f>SUM(L4:L4)</f>
      </c>
      <c r="M5" s="57">
        <f>SUM(M4:M4)</f>
      </c>
      <c r="N5" s="57">
        <f>SUM(N4:N4)</f>
      </c>
      <c r="O5" s="57">
        <f>SUM(O4:O4)</f>
      </c>
      <c r="P5" s="57">
        <f>SUM(P4:P4)</f>
      </c>
      <c r="Q5" s="57">
        <f>SUM(Q4:Q4)</f>
      </c>
      <c r="R5" s="57">
        <f>SUM(R4:R4)</f>
      </c>
      <c r="S5" s="57">
        <f>SUM(S4:S4)</f>
      </c>
      <c r="T5" s="57">
        <f>SUM(T4:T4)</f>
      </c>
      <c r="U5" s="57">
        <f>SUM(U4:U4)</f>
      </c>
      <c r="V5" s="57">
        <f>SUM(V4:V4)</f>
      </c>
      <c r="W5" s="56" t="str">
        <v>Total Net Difference for April</v>
      </c>
    </row>
  </sheetData>
  <autoFilter ref="A3:W5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MAY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16" customHeight="1">
      <c r="A4" s="74" t="str">
        <v>Value Mismatch</v>
      </c>
      <c r="B4" s="75" t="str">
        <v>27BBBBB0000B1Z5</v>
      </c>
      <c r="C4" s="75" t="str">
        <v>27BBBBB0000B1Z5</v>
      </c>
      <c r="D4" s="75" t="str">
        <v>SUPPLIER B</v>
      </c>
      <c r="E4" s="75" t="str">
        <v>SUPPLIER B</v>
      </c>
      <c r="F4" s="75" t="str">
        <v>INV-202</v>
      </c>
      <c r="G4" s="75" t="str">
        <v>INV-202</v>
      </c>
      <c r="H4" s="75" t="str">
        <v>20-May-2025</v>
      </c>
      <c r="I4" s="75" t="str">
        <v>20-May-2025</v>
      </c>
      <c r="J4" s="61">
        <v>50000</v>
      </c>
      <c r="K4" s="62">
        <v>50000</v>
      </c>
      <c r="L4" s="76">
        <v>0</v>
      </c>
      <c r="M4" s="61">
        <v>4500</v>
      </c>
      <c r="N4" s="62">
        <v>4000</v>
      </c>
      <c r="O4" s="76">
        <v>500</v>
      </c>
      <c r="P4" s="61">
        <v>4500</v>
      </c>
      <c r="Q4" s="62">
        <v>4000</v>
      </c>
      <c r="R4" s="76">
        <v>500</v>
      </c>
      <c r="S4" s="61">
        <v>0</v>
      </c>
      <c r="T4" s="62">
        <v>0</v>
      </c>
      <c r="U4" s="76">
        <v>0</v>
      </c>
      <c r="V4" s="76">
        <v>1000</v>
      </c>
      <c r="W4" s="75" t="str">
        <v>Tax mismatch of ₹1000.00 between Books and 2B</v>
      </c>
    </row>
    <row r="5" ht="22" customHeight="1">
      <c r="A5" s="56" t="str">
        <v>MONTHLY TOTAL</v>
      </c>
      <c r="B5" s="56" t="str">
        <v/>
      </c>
      <c r="C5" s="56" t="str">
        <v/>
      </c>
      <c r="D5" s="56" t="str">
        <v/>
      </c>
      <c r="E5" s="56" t="str">
        <v/>
      </c>
      <c r="F5" s="56" t="str">
        <v/>
      </c>
      <c r="G5" s="56" t="str">
        <v/>
      </c>
      <c r="H5" s="56" t="str">
        <v/>
      </c>
      <c r="I5" s="56" t="str">
        <v/>
      </c>
      <c r="J5" s="57">
        <f>SUM(J4:J4)</f>
      </c>
      <c r="K5" s="57">
        <f>SUM(K4:K4)</f>
      </c>
      <c r="L5" s="57">
        <f>SUM(L4:L4)</f>
      </c>
      <c r="M5" s="57">
        <f>SUM(M4:M4)</f>
      </c>
      <c r="N5" s="57">
        <f>SUM(N4:N4)</f>
      </c>
      <c r="O5" s="57">
        <f>SUM(O4:O4)</f>
      </c>
      <c r="P5" s="57">
        <f>SUM(P4:P4)</f>
      </c>
      <c r="Q5" s="57">
        <f>SUM(Q4:Q4)</f>
      </c>
      <c r="R5" s="57">
        <f>SUM(R4:R4)</f>
      </c>
      <c r="S5" s="57">
        <f>SUM(S4:S4)</f>
      </c>
      <c r="T5" s="57">
        <f>SUM(T4:T4)</f>
      </c>
      <c r="U5" s="57">
        <f>SUM(U4:U4)</f>
      </c>
      <c r="V5" s="57">
        <f>SUM(V4:V4)</f>
      </c>
      <c r="W5" s="56" t="str">
        <v>Total Net Difference for May</v>
      </c>
    </row>
  </sheetData>
  <autoFilter ref="A3:W5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JUNE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June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JULY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July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AUGUST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August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SEPTEMBER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September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OCTOBER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October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NOVEMBER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November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DECEMBER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December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JANUARY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January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FEBRUARY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February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8.83203125" customWidth="1"/>
    <col min="5" max="5" width="28.83203125" customWidth="1"/>
    <col min="6" max="6" width="18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8.83203125" customWidth="1"/>
    <col min="23" max="23" width="45.83203125" customWidth="1"/>
  </cols>
  <sheetData>
    <row r="1" ht="26" customHeight="1">
      <c r="A1" s="19" t="str">
        <v>TEST COMPANY - MARCH DIFFERENCES BREAKDOWN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  <c r="R1" s="27" t="str">
        <v>📖 Guide</v>
      </c>
      <c r="S1" s="8" t="str">
        <v/>
      </c>
      <c r="T1" s="8" t="str">
        <v/>
      </c>
      <c r="U1" s="8" t="str">
        <v/>
      </c>
      <c r="V1" s="8" t="str">
        <v/>
      </c>
      <c r="W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  <c r="R2" s="29" t="str">
        <v/>
      </c>
      <c r="S2" s="29" t="str">
        <v/>
      </c>
      <c r="T2" s="29" t="str">
        <v/>
      </c>
      <c r="U2" s="29" t="str">
        <v/>
      </c>
      <c r="V2" s="29" t="str">
        <v/>
      </c>
      <c r="W2" s="29" t="str">
        <v/>
      </c>
    </row>
    <row r="3" ht="20" customHeight="1">
      <c r="A3" s="67" t="str">
        <v>Match Status</v>
      </c>
      <c r="B3" s="67" t="str">
        <v>GSTIN (PR)</v>
      </c>
      <c r="C3" s="67" t="str">
        <v>GSTIN (2B)</v>
      </c>
      <c r="D3" s="67" t="str">
        <v>Supplier Name (PR)</v>
      </c>
      <c r="E3" s="67" t="str">
        <v>Supplier Name (2B)</v>
      </c>
      <c r="F3" s="67" t="str">
        <v>Invoice No (PR)</v>
      </c>
      <c r="G3" s="67" t="str">
        <v>Invoice No (2B)</v>
      </c>
      <c r="H3" s="67" t="str">
        <v>Invoice Date (PR)</v>
      </c>
      <c r="I3" s="67" t="str">
        <v>Invoice Date (2B)</v>
      </c>
      <c r="J3" s="68" t="str">
        <v>Taxable (PR)</v>
      </c>
      <c r="K3" s="69" t="str">
        <v>Taxable (2B)</v>
      </c>
      <c r="L3" s="70" t="str">
        <v>Taxable Diff</v>
      </c>
      <c r="M3" s="68" t="str">
        <v>CGST (PR)</v>
      </c>
      <c r="N3" s="69" t="str">
        <v>CGST (2B)</v>
      </c>
      <c r="O3" s="70" t="str">
        <v>Diff CGST</v>
      </c>
      <c r="P3" s="68" t="str">
        <v>SGST (PR)</v>
      </c>
      <c r="Q3" s="69" t="str">
        <v>SGST (2B)</v>
      </c>
      <c r="R3" s="70" t="str">
        <v>Diff SGST</v>
      </c>
      <c r="S3" s="68" t="str">
        <v>IGST (PR)</v>
      </c>
      <c r="T3" s="69" t="str">
        <v>IGST (2B)</v>
      </c>
      <c r="U3" s="70" t="str">
        <v>Diff IGST</v>
      </c>
      <c r="V3" s="70" t="str">
        <v>Total Net Tax Diff</v>
      </c>
      <c r="W3" s="67" t="str">
        <v>Reason / Remark</v>
      </c>
    </row>
    <row r="4" ht="22" customHeight="1">
      <c r="A4" s="56" t="str">
        <v>No Differences</v>
      </c>
      <c r="B4" s="56" t="str">
        <v/>
      </c>
      <c r="C4" s="56" t="str">
        <v/>
      </c>
      <c r="D4" s="56" t="str">
        <v/>
      </c>
      <c r="E4" s="56" t="str">
        <v/>
      </c>
      <c r="F4" s="56" t="str">
        <v/>
      </c>
      <c r="G4" s="56" t="str">
        <v/>
      </c>
      <c r="H4" s="56" t="str">
        <v/>
      </c>
      <c r="I4" s="56" t="str">
        <v/>
      </c>
      <c r="J4" s="57">
        <v>0</v>
      </c>
      <c r="K4" s="57">
        <v>0</v>
      </c>
      <c r="L4" s="57">
        <v>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6" t="str">
        <v>All invoices in March are matched!</v>
      </c>
    </row>
  </sheetData>
  <autoFilter ref="A3:W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W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</cols>
  <sheetData>
    <row r="1" ht="18" customHeight="1">
      <c r="A1" s="19" t="str">
        <v>TEST COMPANY - GSTR-3B VS 2B VS BOOKS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7" t="str">
        <v>⏱️ Timing Rec</v>
      </c>
    </row>
    <row r="2" ht="18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29" t="str">
        <v/>
      </c>
    </row>
    <row r="3" ht="24" customHeight="1">
      <c r="A3" s="77" t="str">
        <v/>
      </c>
      <c r="B3" s="78" t="str">
        <v>Books (PR / Sales)</v>
      </c>
      <c r="F3" s="79" t="str">
        <v>Portal (2B / 1)</v>
      </c>
      <c r="J3" s="80" t="str">
        <v>GSTR-3B (Claimed / Paid)</v>
      </c>
      <c r="N3" s="81" t="str">
        <v>Difference</v>
      </c>
    </row>
    <row r="4" ht="20" customHeight="1">
      <c r="A4" s="82" t="str">
        <v>Month</v>
      </c>
      <c r="B4" s="82" t="str">
        <v>Taxable</v>
      </c>
      <c r="C4" s="82" t="str">
        <v>CGST</v>
      </c>
      <c r="D4" s="82" t="str">
        <v>SGST</v>
      </c>
      <c r="E4" s="82" t="str">
        <v>IGST</v>
      </c>
      <c r="F4" s="82" t="str">
        <v>Taxable</v>
      </c>
      <c r="G4" s="82" t="str">
        <v>CGST</v>
      </c>
      <c r="H4" s="82" t="str">
        <v>SGST</v>
      </c>
      <c r="I4" s="82" t="str">
        <v>IGST</v>
      </c>
      <c r="J4" s="82" t="str">
        <v>Taxable</v>
      </c>
      <c r="K4" s="82" t="str">
        <v>CGST</v>
      </c>
      <c r="L4" s="82" t="str">
        <v>SGST</v>
      </c>
      <c r="M4" s="82" t="str">
        <v>IGST</v>
      </c>
      <c r="N4" s="82" t="str">
        <v>Taxable</v>
      </c>
      <c r="O4" s="82" t="str">
        <v>CGST</v>
      </c>
      <c r="P4" s="82" t="str">
        <v>SGST</v>
      </c>
      <c r="Q4" s="82" t="str">
        <v>IGST</v>
      </c>
    </row>
    <row r="5" ht="18" customHeight="1">
      <c r="A5" s="83" t="str">
        <v>April</v>
      </c>
      <c r="B5" s="84">
        <v>100000</v>
      </c>
      <c r="C5" s="84">
        <v>9000</v>
      </c>
      <c r="D5" s="84">
        <v>9000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f>F5-J5</f>
        <v>0</v>
      </c>
      <c r="O5" s="84">
        <f>G5-K5</f>
        <v>0</v>
      </c>
      <c r="P5" s="84">
        <f>H5-L5</f>
        <v>0</v>
      </c>
      <c r="Q5" s="84">
        <f>I5-M5</f>
        <v>0</v>
      </c>
    </row>
    <row r="6" ht="18" customHeight="1">
      <c r="A6" s="85" t="str">
        <v>May</v>
      </c>
      <c r="B6" s="86">
        <v>50000</v>
      </c>
      <c r="C6" s="86">
        <v>4500</v>
      </c>
      <c r="D6" s="86">
        <v>4500</v>
      </c>
      <c r="E6" s="86">
        <v>0</v>
      </c>
      <c r="F6" s="86">
        <v>50000</v>
      </c>
      <c r="G6" s="86">
        <v>4000</v>
      </c>
      <c r="H6" s="86">
        <v>4000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7">
        <f>F6-J6</f>
        <v>50000</v>
      </c>
      <c r="O6" s="87">
        <f>G6-K6</f>
        <v>4000</v>
      </c>
      <c r="P6" s="87">
        <f>H6-L6</f>
        <v>4000</v>
      </c>
      <c r="Q6" s="86">
        <f>I6-M6</f>
        <v>0</v>
      </c>
    </row>
    <row r="7" ht="18" customHeight="1">
      <c r="A7" s="83" t="str">
        <v>June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f>F7-J7</f>
        <v>0</v>
      </c>
      <c r="O7" s="84">
        <f>G7-K7</f>
        <v>0</v>
      </c>
      <c r="P7" s="84">
        <f>H7-L7</f>
        <v>0</v>
      </c>
      <c r="Q7" s="84">
        <f>I7-M7</f>
        <v>0</v>
      </c>
    </row>
    <row r="8" ht="18" customHeight="1">
      <c r="A8" s="85" t="str">
        <v>July</v>
      </c>
      <c r="B8" s="86">
        <v>0</v>
      </c>
      <c r="C8" s="86">
        <v>0</v>
      </c>
      <c r="D8" s="86">
        <v>0</v>
      </c>
      <c r="E8" s="86">
        <v>0</v>
      </c>
      <c r="F8" s="86">
        <v>0</v>
      </c>
      <c r="G8" s="86">
        <v>0</v>
      </c>
      <c r="H8" s="86">
        <v>0</v>
      </c>
      <c r="I8" s="86">
        <v>0</v>
      </c>
      <c r="J8" s="86">
        <v>0</v>
      </c>
      <c r="K8" s="86">
        <v>0</v>
      </c>
      <c r="L8" s="86">
        <v>0</v>
      </c>
      <c r="M8" s="86">
        <v>0</v>
      </c>
      <c r="N8" s="86">
        <f>F8-J8</f>
        <v>0</v>
      </c>
      <c r="O8" s="86">
        <f>G8-K8</f>
        <v>0</v>
      </c>
      <c r="P8" s="86">
        <f>H8-L8</f>
        <v>0</v>
      </c>
      <c r="Q8" s="86">
        <f>I8-M8</f>
        <v>0</v>
      </c>
    </row>
    <row r="9" ht="18" customHeight="1">
      <c r="A9" s="83" t="str">
        <v>August</v>
      </c>
      <c r="B9" s="84">
        <v>0</v>
      </c>
      <c r="C9" s="84">
        <v>0</v>
      </c>
      <c r="D9" s="84">
        <v>0</v>
      </c>
      <c r="E9" s="84">
        <v>0</v>
      </c>
      <c r="F9" s="84">
        <v>0</v>
      </c>
      <c r="G9" s="84">
        <v>0</v>
      </c>
      <c r="H9" s="84">
        <v>0</v>
      </c>
      <c r="I9" s="84">
        <v>0</v>
      </c>
      <c r="J9" s="84">
        <v>0</v>
      </c>
      <c r="K9" s="84">
        <v>0</v>
      </c>
      <c r="L9" s="84">
        <v>0</v>
      </c>
      <c r="M9" s="84">
        <v>0</v>
      </c>
      <c r="N9" s="84">
        <f>F9-J9</f>
        <v>0</v>
      </c>
      <c r="O9" s="84">
        <f>G9-K9</f>
        <v>0</v>
      </c>
      <c r="P9" s="84">
        <f>H9-L9</f>
        <v>0</v>
      </c>
      <c r="Q9" s="84">
        <f>I9-M9</f>
        <v>0</v>
      </c>
    </row>
    <row r="10" ht="18" customHeight="1">
      <c r="A10" s="85" t="str">
        <v>September</v>
      </c>
      <c r="B10" s="86">
        <v>0</v>
      </c>
      <c r="C10" s="86">
        <v>0</v>
      </c>
      <c r="D10" s="86">
        <v>0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6">
        <v>0</v>
      </c>
      <c r="K10" s="86">
        <v>0</v>
      </c>
      <c r="L10" s="86">
        <v>0</v>
      </c>
      <c r="M10" s="86">
        <v>0</v>
      </c>
      <c r="N10" s="86">
        <f>F10-J10</f>
        <v>0</v>
      </c>
      <c r="O10" s="86">
        <f>G10-K10</f>
        <v>0</v>
      </c>
      <c r="P10" s="86">
        <f>H10-L10</f>
        <v>0</v>
      </c>
      <c r="Q10" s="86">
        <f>I10-M10</f>
        <v>0</v>
      </c>
    </row>
    <row r="11" ht="18" customHeight="1">
      <c r="A11" s="83" t="str">
        <v>October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f>F11-J11</f>
        <v>0</v>
      </c>
      <c r="O11" s="84">
        <f>G11-K11</f>
        <v>0</v>
      </c>
      <c r="P11" s="84">
        <f>H11-L11</f>
        <v>0</v>
      </c>
      <c r="Q11" s="84">
        <f>I11-M11</f>
        <v>0</v>
      </c>
    </row>
    <row r="12" ht="18" customHeight="1">
      <c r="A12" s="85" t="str">
        <v>November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f>F12-J12</f>
        <v>0</v>
      </c>
      <c r="O12" s="86">
        <f>G12-K12</f>
        <v>0</v>
      </c>
      <c r="P12" s="86">
        <f>H12-L12</f>
        <v>0</v>
      </c>
      <c r="Q12" s="86">
        <f>I12-M12</f>
        <v>0</v>
      </c>
    </row>
    <row r="13" ht="18" customHeight="1">
      <c r="A13" s="83" t="str">
        <v>December</v>
      </c>
      <c r="B13" s="84">
        <v>0</v>
      </c>
      <c r="C13" s="84">
        <v>0</v>
      </c>
      <c r="D13" s="84">
        <v>0</v>
      </c>
      <c r="E13" s="84">
        <v>0</v>
      </c>
      <c r="F13" s="84">
        <v>0</v>
      </c>
      <c r="G13" s="84">
        <v>0</v>
      </c>
      <c r="H13" s="84">
        <v>0</v>
      </c>
      <c r="I13" s="84">
        <v>0</v>
      </c>
      <c r="J13" s="84">
        <v>0</v>
      </c>
      <c r="K13" s="84">
        <v>0</v>
      </c>
      <c r="L13" s="84">
        <v>0</v>
      </c>
      <c r="M13" s="84">
        <v>0</v>
      </c>
      <c r="N13" s="84">
        <f>F13-J13</f>
        <v>0</v>
      </c>
      <c r="O13" s="84">
        <f>G13-K13</f>
        <v>0</v>
      </c>
      <c r="P13" s="84">
        <f>H13-L13</f>
        <v>0</v>
      </c>
      <c r="Q13" s="84">
        <f>I13-M13</f>
        <v>0</v>
      </c>
    </row>
    <row r="14" ht="18" customHeight="1">
      <c r="A14" s="85" t="str">
        <v>January</v>
      </c>
      <c r="B14" s="86">
        <v>0</v>
      </c>
      <c r="C14" s="86">
        <v>0</v>
      </c>
      <c r="D14" s="86">
        <v>0</v>
      </c>
      <c r="E14" s="86">
        <v>0</v>
      </c>
      <c r="F14" s="86">
        <v>0</v>
      </c>
      <c r="G14" s="86">
        <v>0</v>
      </c>
      <c r="H14" s="86">
        <v>0</v>
      </c>
      <c r="I14" s="86">
        <v>0</v>
      </c>
      <c r="J14" s="86">
        <v>0</v>
      </c>
      <c r="K14" s="86">
        <v>0</v>
      </c>
      <c r="L14" s="86">
        <v>0</v>
      </c>
      <c r="M14" s="86">
        <v>0</v>
      </c>
      <c r="N14" s="86">
        <f>F14-J14</f>
        <v>0</v>
      </c>
      <c r="O14" s="86">
        <f>G14-K14</f>
        <v>0</v>
      </c>
      <c r="P14" s="86">
        <f>H14-L14</f>
        <v>0</v>
      </c>
      <c r="Q14" s="86">
        <f>I14-M14</f>
        <v>0</v>
      </c>
    </row>
    <row r="15" ht="18" customHeight="1">
      <c r="A15" s="83" t="str">
        <v>February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f>F15-J15</f>
        <v>0</v>
      </c>
      <c r="O15" s="84">
        <f>G15-K15</f>
        <v>0</v>
      </c>
      <c r="P15" s="84">
        <f>H15-L15</f>
        <v>0</v>
      </c>
      <c r="Q15" s="84">
        <f>I15-M15</f>
        <v>0</v>
      </c>
    </row>
    <row r="16" ht="18" customHeight="1">
      <c r="A16" s="85" t="str">
        <v>March</v>
      </c>
      <c r="B16" s="86">
        <v>0</v>
      </c>
      <c r="C16" s="86">
        <v>0</v>
      </c>
      <c r="D16" s="86">
        <v>0</v>
      </c>
      <c r="E16" s="86">
        <v>0</v>
      </c>
      <c r="F16" s="86">
        <v>0</v>
      </c>
      <c r="G16" s="86">
        <v>0</v>
      </c>
      <c r="H16" s="86">
        <v>0</v>
      </c>
      <c r="I16" s="86">
        <v>0</v>
      </c>
      <c r="J16" s="86">
        <v>0</v>
      </c>
      <c r="K16" s="86">
        <v>0</v>
      </c>
      <c r="L16" s="86">
        <v>0</v>
      </c>
      <c r="M16" s="86">
        <v>0</v>
      </c>
      <c r="N16" s="86">
        <f>F16-J16</f>
        <v>0</v>
      </c>
      <c r="O16" s="86">
        <f>G16-K16</f>
        <v>0</v>
      </c>
      <c r="P16" s="86">
        <f>H16-L16</f>
        <v>0</v>
      </c>
      <c r="Q16" s="86">
        <f>I16-M16</f>
        <v>0</v>
      </c>
    </row>
    <row r="17" ht="18" customHeight="1">
      <c r="A17" s="88" t="str">
        <v>TOTAL</v>
      </c>
      <c r="B17" s="89">
        <f>SUM(B5:B16)</f>
        <v>150000</v>
      </c>
      <c r="C17" s="89">
        <f>SUM(C5:C16)</f>
        <v>13500</v>
      </c>
      <c r="D17" s="89">
        <f>SUM(D5:D16)</f>
        <v>13500</v>
      </c>
      <c r="E17" s="89">
        <f>SUM(E5:E16)</f>
        <v>0</v>
      </c>
      <c r="F17" s="89">
        <f>SUM(F5:F16)</f>
        <v>50000</v>
      </c>
      <c r="G17" s="89">
        <f>SUM(G5:G16)</f>
        <v>4000</v>
      </c>
      <c r="H17" s="89">
        <f>SUM(H5:H16)</f>
        <v>4000</v>
      </c>
      <c r="I17" s="89">
        <f>SUM(I5:I16)</f>
        <v>0</v>
      </c>
      <c r="J17" s="89">
        <f>SUM(J5:J16)</f>
        <v>0</v>
      </c>
      <c r="K17" s="89">
        <f>SUM(K5:K16)</f>
        <v>0</v>
      </c>
      <c r="L17" s="89">
        <f>SUM(L5:L16)</f>
        <v>0</v>
      </c>
      <c r="M17" s="89">
        <f>SUM(M5:M16)</f>
        <v>0</v>
      </c>
      <c r="N17" s="90">
        <f>SUM(N5:N16)</f>
        <v>50000</v>
      </c>
      <c r="O17" s="90">
        <f>SUM(O5:O16)</f>
        <v>4000</v>
      </c>
      <c r="P17" s="90">
        <f>SUM(P5:P16)</f>
        <v>4000</v>
      </c>
      <c r="Q17" s="89">
        <f>SUM(Q5:Q16)</f>
        <v>0</v>
      </c>
    </row>
  </sheetData>
  <mergeCells count="6">
    <mergeCell ref="A1:H1"/>
    <mergeCell ref="A2:H2"/>
    <mergeCell ref="B3:E3"/>
    <mergeCell ref="F3:I3"/>
    <mergeCell ref="J3:M3"/>
    <mergeCell ref="N3:Q3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</hyperlinks>
  <ignoredErrors>
    <ignoredError numberStoredAsText="1" sqref="A1:Q1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25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5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3.83203125" customWidth="1"/>
    <col min="18" max="18" width="13.83203125" customWidth="1"/>
    <col min="19" max="19" width="13.83203125" customWidth="1"/>
  </cols>
  <sheetData>
    <row r="1" ht="26" customHeight="1">
      <c r="A1" s="19" t="str">
        <v>TEST COMPANY - TIMING RECONCILIATION</v>
      </c>
      <c r="I1" s="27" t="str">
        <v>🏠 Home</v>
      </c>
      <c r="J1" s="27" t="str">
        <v>📊 Summary</v>
      </c>
      <c r="K1" s="27" t="str">
        <v>📅 Tax Comp</v>
      </c>
      <c r="L1" s="27" t="str">
        <v>🗓️ Tax Comp FY</v>
      </c>
      <c r="M1" s="27" t="str">
        <v>🏢 Partywise Monthly</v>
      </c>
      <c r="N1" s="27" t="str">
        <v>⚠️ Party Mismatches</v>
      </c>
      <c r="O1" s="27" t="str">
        <v>🔍 Party Breakdown</v>
      </c>
      <c r="P1" s="27" t="str">
        <v>📋 3B Comp</v>
      </c>
      <c r="Q1" s="28" t="str">
        <v>⏱️ Timing Rec</v>
      </c>
      <c r="R1" s="27" t="str">
        <v>📖 Guide</v>
      </c>
      <c r="S1" s="8" t="str">
        <v/>
      </c>
    </row>
    <row r="2" ht="14" customHeight="1">
      <c r="A2" s="20" t="str">
        <v>Report Generated on: 14/9/2026, 11:52:41 pm | Powered by Vaswani Return</v>
      </c>
      <c r="I2" s="29" t="str">
        <v/>
      </c>
      <c r="J2" s="29" t="str">
        <v/>
      </c>
      <c r="K2" s="29" t="str">
        <v/>
      </c>
      <c r="L2" s="29" t="str">
        <v/>
      </c>
      <c r="M2" s="29" t="str">
        <v/>
      </c>
      <c r="N2" s="29" t="str">
        <v/>
      </c>
      <c r="O2" s="29" t="str">
        <v/>
      </c>
      <c r="P2" s="29" t="str">
        <v/>
      </c>
      <c r="Q2" s="30" t="str">
        <v/>
      </c>
      <c r="R2" s="29" t="str">
        <v/>
      </c>
      <c r="S2" s="29" t="str">
        <v/>
      </c>
    </row>
    <row r="3" ht="18" customHeight="1">
      <c r="A3" s="47" t="str">
        <v>GSTIN (PR)</v>
      </c>
      <c r="B3" s="47" t="str">
        <v>GSTIN (2B)</v>
      </c>
      <c r="C3" s="47" t="str">
        <v>PR Party Name</v>
      </c>
      <c r="D3" s="47" t="str">
        <v>2B Party Name</v>
      </c>
      <c r="E3" s="47" t="str">
        <v>Invoice No (PR)</v>
      </c>
      <c r="F3" s="47" t="str">
        <v>Invoice No (2B)</v>
      </c>
      <c r="G3" s="47" t="str">
        <v>Invoice Date (PR)</v>
      </c>
      <c r="H3" s="47" t="str">
        <v>Invoice Date (2B)</v>
      </c>
      <c r="I3" s="47" t="str">
        <v>Books Month (PR)</v>
      </c>
      <c r="J3" s="47" t="str">
        <v>Portal Month (2B)</v>
      </c>
      <c r="K3" s="47" t="str">
        <v>PR CGST</v>
      </c>
      <c r="L3" s="47" t="str">
        <v>PR SGST</v>
      </c>
      <c r="M3" s="47" t="str">
        <v>PR IGST</v>
      </c>
      <c r="N3" s="47" t="str">
        <v>2B CGST</v>
      </c>
      <c r="O3" s="47" t="str">
        <v>2B SGST</v>
      </c>
      <c r="P3" s="47" t="str">
        <v>2B IGST</v>
      </c>
      <c r="Q3" s="47" t="str">
        <v>Diff CGST (PR-2B)</v>
      </c>
      <c r="R3" s="47" t="str">
        <v>Diff SGST (PR-2B)</v>
      </c>
      <c r="S3" s="47" t="str">
        <v>Diff IGST (PR-2B)</v>
      </c>
    </row>
    <row r="4" ht="20" customHeight="1">
      <c r="A4" s="40" t="str">
        <v>GRAND TOTAL</v>
      </c>
      <c r="B4" s="40" t="str">
        <v/>
      </c>
      <c r="C4" s="40" t="str">
        <v/>
      </c>
      <c r="D4" s="40" t="str">
        <v/>
      </c>
      <c r="E4" s="40" t="str">
        <v/>
      </c>
      <c r="F4" s="40" t="str">
        <v/>
      </c>
      <c r="G4" s="40" t="str">
        <v/>
      </c>
      <c r="H4" s="40" t="str">
        <v/>
      </c>
      <c r="I4" s="40" t="str">
        <v/>
      </c>
      <c r="J4" s="40" t="str">
        <v/>
      </c>
      <c r="K4" s="41">
        <f>SUM(K5:K4)</f>
      </c>
      <c r="L4" s="41">
        <f>SUM(L5:L4)</f>
      </c>
      <c r="M4" s="41">
        <f>SUM(M5:M4)</f>
      </c>
      <c r="N4" s="41">
        <f>SUM(N5:N4)</f>
      </c>
      <c r="O4" s="41">
        <f>SUM(O5:O4)</f>
      </c>
      <c r="P4" s="41">
        <f>SUM(P5:P4)</f>
      </c>
      <c r="Q4" s="41">
        <f>SUM(Q5:Q4)</f>
      </c>
      <c r="R4" s="41">
        <f>SUM(R5:R4)</f>
      </c>
      <c r="S4" s="41">
        <f>SUM(S5:S4)</f>
      </c>
    </row>
  </sheetData>
  <autoFilter ref="A3:S4"/>
  <mergeCells count="2">
    <mergeCell ref="A1:H1"/>
    <mergeCell ref="A2:H2"/>
  </mergeCells>
  <hyperlinks>
    <hyperlink ref="I1" location="'Dashboard'!A1" tooltip="Switch to 🏠 Home"/>
    <hyperlink ref="J1" location="'Executive Summary'!A1" tooltip="Switch to 📊 Summary"/>
    <hyperlink ref="K1" location="'Monthly Tax Comparison'!A1" tooltip="Switch to 📅 Tax Comp"/>
    <hyperlink ref="L1" location="'Monthly Tax Comparison FY'!A1" tooltip="Switch to 🗓️ Tax Comp FY"/>
    <hyperlink ref="M1" location="'Partywise Monthly Working'!A1" tooltip="Switch to 🏢 Partywise Monthly"/>
    <hyperlink ref="N1" location="'Partywise Mismatch Invoices'!A1" tooltip="Switch to ⚠️ Party Mismatches"/>
    <hyperlink ref="O1" location="'Party Mismatch Breakdown'!A1" tooltip="Switch to 🔍 Party Breakdown"/>
    <hyperlink ref="P1" location="'3B vs 2B vs Books'!A1" tooltip="Switch to 📋 3B Comp"/>
    <hyperlink ref="Q1" location="'Timing Reconciliation'!A1" tooltip="Switch to ⏱️ Timing Rec"/>
    <hyperlink ref="R1" location="'📖 Methodology &amp; Legend'!A1" tooltip="Switch to 📖 Guide"/>
  </hyperlinks>
  <ignoredErrors>
    <ignoredError numberStoredAsText="1" sqref="A1:S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5.83203125" customWidth="1"/>
    <col min="2" max="2" width="110.83203125" customWidth="1"/>
  </cols>
  <sheetData>
    <row r="1" ht="26" customHeight="1">
      <c r="A1" s="19" t="str">
        <v>TEST COMPANY - 📖 METHODOLOGY &amp; LEGEND</v>
      </c>
    </row>
    <row r="2" ht="14" customHeight="1">
      <c r="A2" s="20" t="str">
        <v>Report Generated on: 14/9/2026, 11:52:41 pm | Powered by Vaswani Return</v>
      </c>
    </row>
    <row r="3" ht="18" customHeight="1">
      <c r="A3" s="2" t="str">
        <v/>
      </c>
      <c r="B3" s="2" t="str">
        <v/>
      </c>
    </row>
    <row r="4" ht="28" customHeight="1">
      <c r="A4" s="91" t="str">
        <v>1. RECONCILIATION &amp; MATCHING METHODOLOGY</v>
      </c>
      <c r="B4" s="91" t="str">
        <v/>
      </c>
    </row>
    <row r="5" ht="45" customHeight="1">
      <c r="A5" s="92" t="str">
        <v>The matching engine evaluates the Purchase Register and GSTR-2B using a multi-step hierarchical logic. It prioritises exact matches on GSTIN and Invoice Number, and falls back to advanced fuzzy matching (Name substrings, partial invoice sequences, and dates ±15 days) to maximise eligible ITC.</v>
      </c>
      <c r="B5" s="93" t="str">
        <v/>
      </c>
    </row>
    <row r="6" ht="18" customHeight="1">
      <c r="A6" s="2" t="str">
        <v/>
      </c>
      <c r="B6" s="2" t="str">
        <v/>
      </c>
    </row>
    <row r="7" ht="22" customHeight="1">
      <c r="A7" s="94" t="str">
        <v>Match Status</v>
      </c>
      <c r="B7" s="94" t="str">
        <v>Definition / Criteria</v>
      </c>
    </row>
    <row r="8" ht="18" customHeight="1">
      <c r="A8" s="95" t="str">
        <v>✅ Perfect Match</v>
      </c>
      <c r="B8" s="93" t="str">
        <v>Exact match on GSTIN, Invoice Number, and Tax amounts (within ±2 Rupee tolerance).</v>
      </c>
    </row>
    <row r="9" ht="18" customHeight="1">
      <c r="A9" s="95" t="str">
        <v>✅ Matched (Diff Date)</v>
      </c>
      <c r="B9" s="93" t="str">
        <v>Exact match on GSTIN, Invoice Number, and Tax amounts, but invoice dates differ.</v>
      </c>
    </row>
    <row r="10" ht="18" customHeight="1">
      <c r="A10" s="95" t="str">
        <v>⚠️ Value Mismatch</v>
      </c>
      <c r="B10" s="93" t="str">
        <v>GSTIN and Invoice Number matched, but Taxable or GST amounts differ by more than ₹2.</v>
      </c>
    </row>
    <row r="11" ht="18" customHeight="1">
      <c r="A11" s="95" t="str">
        <v>⚠️ Name Mismatch</v>
      </c>
      <c r="B11" s="93" t="str">
        <v>Exact match on GSTIN and Invoice Number, but the Party Name text is significantly different.</v>
      </c>
    </row>
    <row r="12" ht="18" customHeight="1">
      <c r="A12" s="95" t="str">
        <v>🚨 Not in 2B</v>
      </c>
      <c r="B12" s="93" t="str">
        <v>Invoice exists in your Purchase Register (Books) but is missing from the GSTR-2B downloaded from the portal. ITC is at risk.</v>
      </c>
    </row>
    <row r="13" ht="18" customHeight="1">
      <c r="A13" s="95" t="str">
        <v>🟦 Not in Books</v>
      </c>
      <c r="B13" s="93" t="str">
        <v>Invoice exists in GSTR-2B but is missing from your Purchase Register. Possible unrecorded purchase.</v>
      </c>
    </row>
    <row r="14" ht="18" customHeight="1">
      <c r="A14" s="95" t="str">
        <v>❌ Wrong GSTIN</v>
      </c>
      <c r="B14" s="93" t="str">
        <v>Matched strongly by Name and Invoice Number, but the GSTINs are completely different. Requires amendment.</v>
      </c>
    </row>
    <row r="15" ht="18" customHeight="1">
      <c r="A15" s="95" t="str">
        <v>⏳ Prior FY (Excluded)</v>
      </c>
      <c r="B15" s="93" t="str">
        <v>Invoice detected in GSTR-2B but belongs to a previous Financial Year. It has been excluded from the active reconciliation.</v>
      </c>
    </row>
    <row r="16" ht="18" customHeight="1">
      <c r="A16" s="2" t="str">
        <v/>
      </c>
      <c r="B16" s="2" t="str">
        <v/>
      </c>
    </row>
    <row r="17" ht="28" customHeight="1">
      <c r="A17" s="91" t="str">
        <v>2. TOLERANCES &amp; ROUNDING</v>
      </c>
      <c r="B17" s="91" t="str">
        <v/>
      </c>
    </row>
    <row r="18" ht="18" customHeight="1">
      <c r="A18" s="96" t="str">
        <v>Rounding Rule:</v>
      </c>
      <c r="B18" s="97" t="str">
        <v>All tax amounts are automatically rounded to the nearest integer per Section 170 of the CGST Act before comparison.</v>
      </c>
    </row>
    <row r="19" ht="18" customHeight="1">
      <c r="A19" s="96" t="str">
        <v>Variance Tolerance:</v>
      </c>
      <c r="B19" s="97" t="str">
        <v>A ±₹2.00 tolerance is applied to all Taxable, CGST, SGST, and IGST values to absorb minor portal vs software rounding differences.</v>
      </c>
    </row>
    <row r="20" ht="18" customHeight="1">
      <c r="A20" s="2" t="str">
        <v/>
      </c>
      <c r="B20" s="2" t="str">
        <v/>
      </c>
    </row>
    <row r="21" ht="28" customHeight="1">
      <c r="A21" s="91" t="str">
        <v>3. COLOR LEGEND</v>
      </c>
      <c r="B21" s="91" t="str">
        <v/>
      </c>
    </row>
    <row r="22" ht="22" customHeight="1">
      <c r="A22" s="94" t="str">
        <v>Background Color</v>
      </c>
      <c r="B22" s="94" t="str">
        <v>Indication / Meaning</v>
      </c>
    </row>
    <row r="23" ht="18" customHeight="1">
      <c r="A23" s="98" t="str">
        <v>Green (Light)</v>
      </c>
      <c r="B23" s="93" t="str">
        <v>Match is successful and compliant. No action required.</v>
      </c>
    </row>
    <row r="24" ht="18" customHeight="1">
      <c r="A24" s="99" t="str">
        <v>Yellow / Amber</v>
      </c>
      <c r="B24" s="93" t="str">
        <v>Warning: Match found with discrepancies (Value difference or Name mismatch). Review needed.</v>
      </c>
    </row>
    <row r="25" ht="18" customHeight="1">
      <c r="A25" s="100" t="str">
        <v>Red (Light)</v>
      </c>
      <c r="B25" s="93" t="str">
        <v>Alert: Record missing from GSTR-2B or Wrong GSTIN. High risk of ITC loss. Follow up with Vendor.</v>
      </c>
    </row>
    <row r="26" ht="18" customHeight="1">
      <c r="A26" s="101" t="str">
        <v>Blue (Light)</v>
      </c>
      <c r="B26" s="93" t="str">
        <v>Notice: Record missing from Books but present in GSTR-2B. Consider recording the purchase.</v>
      </c>
    </row>
    <row r="27" ht="18" customHeight="1">
      <c r="A27" s="102" t="str">
        <v>Grey (Slate)</v>
      </c>
      <c r="B27" s="93" t="str">
        <v>Status: Excluded from active matching (Prior Financial Year).</v>
      </c>
    </row>
  </sheetData>
  <mergeCells count="6">
    <mergeCell ref="A1:H1"/>
    <mergeCell ref="A2:H2"/>
    <mergeCell ref="A4:B4"/>
    <mergeCell ref="A5:B5"/>
    <mergeCell ref="A17:B17"/>
    <mergeCell ref="A21:B21"/>
  </mergeCells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TEST COMPANY</Company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Dashboard</vt:lpstr>
      <vt:lpstr>Executive Summary</vt:lpstr>
      <vt:lpstr>Monthly Tax Comparison</vt:lpstr>
      <vt:lpstr>Monthly Tax Comparison FY</vt:lpstr>
      <vt:lpstr>Partywise Monthly Working</vt:lpstr>
      <vt:lpstr>Partywise Mismatch Invoices</vt:lpstr>
      <vt:lpstr>Party Mismatch Breakdown</vt:lpstr>
      <vt:lpstr>April_Diff</vt:lpstr>
      <vt:lpstr>May_Diff</vt:lpstr>
      <vt:lpstr>June_Diff</vt:lpstr>
      <vt:lpstr>July_Diff</vt:lpstr>
      <vt:lpstr>August_Diff</vt:lpstr>
      <vt:lpstr>September_Diff</vt:lpstr>
      <vt:lpstr>October_Diff</vt:lpstr>
      <vt:lpstr>November_Diff</vt:lpstr>
      <vt:lpstr>December_Diff</vt:lpstr>
      <vt:lpstr>January_Diff</vt:lpstr>
      <vt:lpstr>February_Diff</vt:lpstr>
      <vt:lpstr>March_Diff</vt:lpstr>
      <vt:lpstr>3B vs 2B vs Books</vt:lpstr>
      <vt:lpstr>Timing Reconciliation</vt:lpstr>
      <vt:lpstr>📖 Methodology &amp;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2026-09-14T18:22:41Z</dcterms:created>
  <dc:creator>Vaswani Return Enterprise Suite</dc:creator>
  <dc:subject>Monthly Tax Comparison Report</dc:subject>
  <dc:title>./scratch/test_monthly_export</dc:title>
</cp:coreProperties>
</file>