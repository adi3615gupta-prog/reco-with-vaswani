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 Details" sheetId="2" state="visible" r:id="rId2"/>
    <sheet name="Amortization" sheetId="3" state="visible" r:id="rId3"/>
    <sheet name="Depreciation" sheetId="4" state="visible" r:id="rId4"/>
    <sheet name="Profit &amp; Loss" sheetId="5" state="visible" r:id="rId5"/>
    <sheet name="Balance Sheet" sheetId="6" state="visible" r:id="rId6"/>
    <sheet name="MPBF" sheetId="7" state="visible" r:id="rId7"/>
    <sheet name="Drawing Power" sheetId="8" state="visible" r:id="rId8"/>
    <sheet name="Cash Flow" sheetId="9" state="visible" r:id="rId9"/>
    <sheet name="Ratios" sheetId="10" state="visible" r:id="rId10"/>
    <sheet name="Sensi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,##0.00"/>
    <numFmt numFmtId="166" formatCode="0.00x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5" fillId="3" borderId="3" applyAlignment="1" pivotButton="0" quotePrefix="0" xfId="0">
      <alignment horizontal="left" vertical="center"/>
    </xf>
    <xf numFmtId="165" fontId="5" fillId="3" borderId="3" applyAlignment="1" pivotButton="0" quotePrefix="0" xfId="0">
      <alignment horizontal="right" vertical="center"/>
    </xf>
    <xf numFmtId="164" fontId="5" fillId="3" borderId="3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3" pivotButton="0" quotePrefix="0" xfId="0"/>
    <xf numFmtId="165" fontId="5" fillId="3" borderId="3" pivotButton="0" quotePrefix="0" xfId="0"/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0" fillId="0" borderId="2" pivotButton="0" quotePrefix="0" xfId="0"/>
    <xf numFmtId="0" fontId="7" fillId="3" borderId="3" applyAlignment="1" pivotButton="0" quotePrefix="0" xfId="0">
      <alignment horizontal="left" vertical="center"/>
    </xf>
    <xf numFmtId="165" fontId="7" fillId="3" borderId="3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2" fontId="5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PROJECT REPORT METADATA &amp; ASSUMPTIONS</t>
        </is>
      </c>
    </row>
    <row r="2" ht="18" customHeight="1">
      <c r="A2" s="2" t="inlineStr">
        <is>
          <t>GOYAL FERTILIZER — Baseline Projection Configuration</t>
        </is>
      </c>
    </row>
    <row r="3"/>
    <row r="4">
      <c r="A4" s="3" t="inlineStr">
        <is>
          <t>Entity Metadata</t>
        </is>
      </c>
    </row>
    <row r="5" ht="24" customHeight="1">
      <c r="A5" s="4" t="inlineStr">
        <is>
          <t>Parameter</t>
        </is>
      </c>
      <c r="B5" s="4" t="inlineStr">
        <is>
          <t>Configuration Value</t>
        </is>
      </c>
    </row>
    <row r="6" ht="20" customHeight="1">
      <c r="A6" s="5" t="inlineStr">
        <is>
          <t>Entity Name</t>
        </is>
      </c>
      <c r="B6" s="6" t="inlineStr">
        <is>
          <t>GOYAL FERTILIZER</t>
        </is>
      </c>
    </row>
    <row r="7" ht="20" customHeight="1">
      <c r="A7" s="5" t="inlineStr">
        <is>
          <t>PAN</t>
        </is>
      </c>
      <c r="B7" s="6" t="inlineStr">
        <is>
          <t>AAKHG2303N1Z7</t>
        </is>
      </c>
    </row>
    <row r="8" ht="20" customHeight="1">
      <c r="A8" s="5" t="inlineStr">
        <is>
          <t>Constitution</t>
        </is>
      </c>
      <c r="B8" s="6" t="inlineStr">
        <is>
          <t>Hindu Undivided Family (HUF)</t>
        </is>
      </c>
    </row>
    <row r="9" ht="20" customHeight="1">
      <c r="A9" s="5" t="inlineStr">
        <is>
          <t>Nature of Business</t>
        </is>
      </c>
      <c r="B9" s="6" t="inlineStr">
        <is>
          <t>SUPPLIER OF FERTILIZER AND SEEDS AND PESTICIDES</t>
        </is>
      </c>
    </row>
    <row r="10" ht="20" customHeight="1">
      <c r="A10" s="5" t="inlineStr">
        <is>
          <t>Purpose of Loan</t>
        </is>
      </c>
      <c r="B10" s="6" t="inlineStr">
        <is>
          <t>Required for Working Capital</t>
        </is>
      </c>
    </row>
    <row r="11" ht="20" customHeight="1">
      <c r="A11" s="5" t="inlineStr">
        <is>
          <t>Moratorium Period (Months)</t>
        </is>
      </c>
      <c r="B11" s="7" t="n">
        <v>120</v>
      </c>
    </row>
    <row r="12" ht="20" customHeight="1">
      <c r="A12" s="5" t="inlineStr">
        <is>
          <t>Repayment Period (Months)</t>
        </is>
      </c>
      <c r="B12" s="7" t="n">
        <v>120</v>
      </c>
    </row>
    <row r="13"/>
    <row r="14"/>
    <row r="15">
      <c r="A15" s="3" t="inlineStr">
        <is>
          <t>Financial Model Drivers</t>
        </is>
      </c>
    </row>
    <row r="16" ht="24" customHeight="1">
      <c r="A16" s="4" t="inlineStr">
        <is>
          <t>Growth &amp; Cost Driver</t>
        </is>
      </c>
      <c r="B16" s="4" t="inlineStr">
        <is>
          <t>FY 2025-26</t>
        </is>
      </c>
      <c r="C16" s="4" t="inlineStr">
        <is>
          <t>FY 2026-27</t>
        </is>
      </c>
      <c r="D16" s="4" t="inlineStr">
        <is>
          <t>FY 2027-28</t>
        </is>
      </c>
      <c r="E16" s="4" t="inlineStr">
        <is>
          <t>FY 2028-29</t>
        </is>
      </c>
      <c r="F16" s="4" t="inlineStr">
        <is>
          <t>FY 2029-30</t>
        </is>
      </c>
    </row>
    <row r="17" ht="20" customHeight="1">
      <c r="A17" s="5" t="inlineStr">
        <is>
          <t>Revenue Growth % (YoY)</t>
        </is>
      </c>
      <c r="B17" s="8" t="n">
        <v>0</v>
      </c>
      <c r="C17" s="8" t="n">
        <v>0.5</v>
      </c>
      <c r="D17" s="8" t="n">
        <v>0.5</v>
      </c>
      <c r="E17" s="8" t="n">
        <v>0</v>
      </c>
      <c r="F17" s="8" t="n">
        <v>0</v>
      </c>
    </row>
    <row r="18" ht="20" customHeight="1">
      <c r="A18" s="5" t="inlineStr">
        <is>
          <t>Raw Material Cost % of Sales</t>
        </is>
      </c>
      <c r="B18" s="8" t="n">
        <v>0.6</v>
      </c>
      <c r="C18" s="8" t="n">
        <v>0.6</v>
      </c>
      <c r="D18" s="8" t="n">
        <v>0.6</v>
      </c>
      <c r="E18" s="8" t="n">
        <v>0</v>
      </c>
      <c r="F18" s="8" t="n">
        <v>0</v>
      </c>
    </row>
    <row r="19" ht="20" customHeight="1">
      <c r="A19" s="5" t="inlineStr">
        <is>
          <t>Other Expenses % of Sales</t>
        </is>
      </c>
      <c r="B19" s="8" t="n">
        <v>0.12</v>
      </c>
      <c r="C19" s="8" t="n">
        <v>0.08799999999999999</v>
      </c>
      <c r="D19" s="8" t="n">
        <v>0.0645333</v>
      </c>
      <c r="E19" s="8" t="n">
        <v>0.0645333</v>
      </c>
      <c r="F19" s="8" t="n">
        <v>0.0645333</v>
      </c>
    </row>
    <row r="20" ht="20" customHeight="1">
      <c r="A20" s="5" t="inlineStr">
        <is>
          <t>Corporate Income Tax Rate %</t>
        </is>
      </c>
      <c r="B20" s="8" t="n">
        <v>0.3</v>
      </c>
      <c r="C20" s="8" t="n">
        <v>0.3</v>
      </c>
      <c r="D20" s="8" t="n">
        <v>0.3</v>
      </c>
      <c r="E20" s="8" t="n">
        <v>0</v>
      </c>
      <c r="F20" s="8" t="n">
        <v>0</v>
      </c>
    </row>
    <row r="21" ht="20" customHeight="1">
      <c r="A21" s="5" t="inlineStr">
        <is>
          <t>Fixed Assets Depreciation Rate (WDV)</t>
        </is>
      </c>
      <c r="B21" s="8" t="n">
        <v>0.15</v>
      </c>
      <c r="C21" s="8" t="n">
        <v>0.15</v>
      </c>
      <c r="D21" s="8" t="n">
        <v>0.15</v>
      </c>
      <c r="E21" s="8" t="n">
        <v>0</v>
      </c>
      <c r="F21" s="8" t="n">
        <v>0</v>
      </c>
    </row>
    <row r="22" ht="20" customHeight="1">
      <c r="A22" s="5" t="inlineStr">
        <is>
          <t>Term Loan Interest Rate (per Annum)</t>
        </is>
      </c>
      <c r="B22" s="8" t="n">
        <v>0.095</v>
      </c>
      <c r="C22" s="8" t="n">
        <v>0.095</v>
      </c>
      <c r="D22" s="8" t="n">
        <v>0.095</v>
      </c>
      <c r="E22" s="8" t="n">
        <v>0.095</v>
      </c>
      <c r="F22" s="8" t="n">
        <v>0.095</v>
      </c>
    </row>
    <row r="23" ht="20" customHeight="1">
      <c r="A23" s="5" t="inlineStr">
        <is>
          <t>Receivable Days (Debtors)</t>
        </is>
      </c>
      <c r="B23" s="7" t="n">
        <v>45</v>
      </c>
      <c r="C23" s="7" t="n">
        <v>45</v>
      </c>
      <c r="D23" s="7" t="n">
        <v>45</v>
      </c>
      <c r="E23" s="7" t="n">
        <v>45</v>
      </c>
      <c r="F23" s="7" t="n">
        <v>45</v>
      </c>
    </row>
    <row r="24" ht="20" customHeight="1">
      <c r="A24" s="5" t="inlineStr">
        <is>
          <t>Stock Days (Inventory)</t>
        </is>
      </c>
      <c r="B24" s="7" t="n">
        <v>60</v>
      </c>
      <c r="C24" s="7" t="n">
        <v>60</v>
      </c>
      <c r="D24" s="7" t="n">
        <v>60</v>
      </c>
      <c r="E24" s="7" t="n">
        <v>60</v>
      </c>
      <c r="F24" s="7" t="n">
        <v>60</v>
      </c>
    </row>
    <row r="25" ht="20" customHeight="1">
      <c r="A25" s="5" t="inlineStr">
        <is>
          <t>Payable Days (Creditors)</t>
        </is>
      </c>
      <c r="B25" s="7" t="n">
        <v>30</v>
      </c>
      <c r="C25" s="7" t="n">
        <v>30</v>
      </c>
      <c r="D25" s="7" t="n">
        <v>30</v>
      </c>
      <c r="E25" s="7" t="n">
        <v>30</v>
      </c>
      <c r="F25" s="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 outlineLevelCol="0"/>
  <cols>
    <col width="52" customWidth="1" min="1" max="1"/>
    <col width="13" customWidth="1" min="2" max="2"/>
    <col width="17" customWidth="1" min="3" max="3"/>
  </cols>
  <sheetData>
    <row r="1" ht="28" customHeight="1">
      <c r="A1" s="1" t="inlineStr">
        <is>
          <t>PROJECT COST &amp; MEANS OF FINANCE (₹)</t>
        </is>
      </c>
    </row>
    <row r="2" ht="18" customHeight="1">
      <c r="A2" s="2" t="inlineStr">
        <is>
          <t>Greenfield Project Valuation &amp; Funding Allocation</t>
        </is>
      </c>
    </row>
    <row r="3"/>
    <row r="4">
      <c r="A4" s="3" t="inlineStr">
        <is>
          <t>Cost of Project Breakup</t>
        </is>
      </c>
    </row>
    <row r="5" ht="24" customHeight="1">
      <c r="A5" s="4" t="inlineStr">
        <is>
          <t>Component</t>
        </is>
      </c>
      <c r="B5" s="4" t="inlineStr">
        <is>
          <t>Amount (₹)</t>
        </is>
      </c>
      <c r="C5" s="4" t="inlineStr">
        <is>
          <t>Percentage (%)</t>
        </is>
      </c>
    </row>
    <row r="6" ht="20" customHeight="1">
      <c r="A6" s="5" t="inlineStr">
        <is>
          <t>Working Capital Margin</t>
        </is>
      </c>
      <c r="B6" s="9" t="n">
        <v>15000000</v>
      </c>
      <c r="C6" s="8" t="n">
        <v>1</v>
      </c>
    </row>
    <row r="7" ht="20" customHeight="1">
      <c r="A7" s="10" t="inlineStr">
        <is>
          <t>Total</t>
        </is>
      </c>
      <c r="B7" s="11">
        <f>SUM(B6:B6)</f>
        <v/>
      </c>
      <c r="C7" s="12">
        <f>SUM(C6:C6)</f>
        <v/>
      </c>
    </row>
    <row r="8"/>
    <row r="9">
      <c r="A9" s="3" t="inlineStr">
        <is>
          <t>Means of Finance</t>
        </is>
      </c>
    </row>
    <row r="10" ht="24" customHeight="1">
      <c r="A10" s="4" t="inlineStr">
        <is>
          <t>Source of Funding</t>
        </is>
      </c>
      <c r="B10" s="4" t="inlineStr">
        <is>
          <t>Amount (₹)</t>
        </is>
      </c>
      <c r="C10" s="4" t="inlineStr">
        <is>
          <t>Percentage (%)</t>
        </is>
      </c>
    </row>
    <row r="11" ht="20" customHeight="1">
      <c r="A11" s="5" t="inlineStr">
        <is>
          <t>Term Loan</t>
        </is>
      </c>
      <c r="B11" s="9" t="n">
        <v>15000000</v>
      </c>
      <c r="C11" s="8" t="n">
        <v>1</v>
      </c>
    </row>
    <row r="12" ht="20" customHeight="1">
      <c r="A12" s="10" t="inlineStr">
        <is>
          <t>Total</t>
        </is>
      </c>
      <c r="B12" s="11">
        <f>SUM(B11:B11)</f>
        <v/>
      </c>
      <c r="C12" s="12">
        <f>SUM(C11:C11)</f>
        <v/>
      </c>
    </row>
    <row r="13"/>
    <row r="14" ht="20" customHeight="1">
      <c r="A14" s="5" t="inlineStr">
        <is>
          <t>Debt-Equity Ratio</t>
        </is>
      </c>
      <c r="B14" s="13" t="inlineStr">
        <is>
          <t>—:1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59" customWidth="1" min="1" max="1"/>
    <col width="18" customWidth="1" min="2" max="2"/>
    <col width="15" customWidth="1" min="3" max="3"/>
    <col width="22" customWidth="1" min="4" max="4"/>
    <col width="19" customWidth="1" min="5" max="5"/>
    <col width="18" customWidth="1" min="6" max="6"/>
  </cols>
  <sheetData>
    <row r="1" ht="28" customHeight="1">
      <c r="A1" s="1" t="inlineStr">
        <is>
          <t>TERM LOAN REPAYMENT SCHEDULE (₹)</t>
        </is>
      </c>
    </row>
    <row r="2" ht="18" customHeight="1">
      <c r="A2" s="2" t="inlineStr">
        <is>
          <t>Amortization Table for ₹1.50 Crore Facility at 9.5% p.a.</t>
        </is>
      </c>
    </row>
    <row r="3"/>
    <row r="4">
      <c r="A4" s="3" t="inlineStr">
        <is>
          <t>Year-wise Term Loan Schedule</t>
        </is>
      </c>
    </row>
    <row r="5" ht="24" customHeight="1">
      <c r="A5" s="4" t="inlineStr">
        <is>
          <t>Year</t>
        </is>
      </c>
      <c r="B5" s="4" t="inlineStr">
        <is>
          <t>Opening Balance</t>
        </is>
      </c>
      <c r="C5" s="4" t="inlineStr">
        <is>
          <t>EMI Payments</t>
        </is>
      </c>
      <c r="D5" s="4" t="inlineStr">
        <is>
          <t>Principal Repayment</t>
        </is>
      </c>
      <c r="E5" s="4" t="inlineStr">
        <is>
          <t>Interest Accrued</t>
        </is>
      </c>
      <c r="F5" s="4" t="inlineStr">
        <is>
          <t>Closing Balance</t>
        </is>
      </c>
    </row>
    <row r="6" ht="20" customHeight="1">
      <c r="A6" s="14" t="n">
        <v>1</v>
      </c>
      <c r="B6" s="9" t="n">
        <v>15000000</v>
      </c>
      <c r="C6" s="9" t="n">
        <v>0</v>
      </c>
      <c r="D6" s="9" t="n">
        <v>0</v>
      </c>
      <c r="E6" s="9" t="n">
        <v>1425000</v>
      </c>
      <c r="F6" s="9" t="n">
        <v>15000000</v>
      </c>
    </row>
    <row r="7" ht="20" customHeight="1">
      <c r="A7" s="14" t="n">
        <v>2</v>
      </c>
      <c r="B7" s="9" t="n">
        <v>15000000</v>
      </c>
      <c r="C7" s="9" t="n">
        <v>0</v>
      </c>
      <c r="D7" s="9" t="n">
        <v>0</v>
      </c>
      <c r="E7" s="9" t="n">
        <v>1425000</v>
      </c>
      <c r="F7" s="9" t="n">
        <v>15000000</v>
      </c>
    </row>
    <row r="8" ht="20" customHeight="1">
      <c r="A8" s="14" t="n">
        <v>3</v>
      </c>
      <c r="B8" s="9" t="n">
        <v>15000000</v>
      </c>
      <c r="C8" s="9" t="n">
        <v>0</v>
      </c>
      <c r="D8" s="9" t="n">
        <v>0</v>
      </c>
      <c r="E8" s="9" t="n">
        <v>1425000</v>
      </c>
      <c r="F8" s="9" t="n">
        <v>15000000</v>
      </c>
    </row>
    <row r="9" ht="20" customHeight="1">
      <c r="A9" s="14" t="n">
        <v>4</v>
      </c>
      <c r="B9" s="9" t="n">
        <v>15000000</v>
      </c>
      <c r="C9" s="9" t="n">
        <v>0</v>
      </c>
      <c r="D9" s="9" t="n">
        <v>0</v>
      </c>
      <c r="E9" s="9" t="n">
        <v>1425000</v>
      </c>
      <c r="F9" s="9" t="n">
        <v>15000000</v>
      </c>
    </row>
    <row r="10" ht="20" customHeight="1">
      <c r="A10" s="14" t="n">
        <v>5</v>
      </c>
      <c r="B10" s="9" t="n">
        <v>15000000</v>
      </c>
      <c r="C10" s="9" t="n">
        <v>0</v>
      </c>
      <c r="D10" s="9" t="n">
        <v>0</v>
      </c>
      <c r="E10" s="9" t="n">
        <v>1425000</v>
      </c>
      <c r="F10" s="9" t="n">
        <v>15000000</v>
      </c>
    </row>
    <row r="11" ht="20" customHeight="1">
      <c r="A11" s="14" t="n">
        <v>6</v>
      </c>
      <c r="B11" s="9" t="n">
        <v>15000000</v>
      </c>
      <c r="C11" s="9" t="n">
        <v>0</v>
      </c>
      <c r="D11" s="9" t="n">
        <v>0</v>
      </c>
      <c r="E11" s="9" t="n">
        <v>1425000</v>
      </c>
      <c r="F11" s="9" t="n">
        <v>15000000</v>
      </c>
    </row>
    <row r="12" ht="20" customHeight="1">
      <c r="A12" s="14" t="n">
        <v>7</v>
      </c>
      <c r="B12" s="9" t="n">
        <v>15000000</v>
      </c>
      <c r="C12" s="9" t="n">
        <v>0</v>
      </c>
      <c r="D12" s="9" t="n">
        <v>0</v>
      </c>
      <c r="E12" s="9" t="n">
        <v>1425000</v>
      </c>
      <c r="F12" s="9" t="n">
        <v>15000000</v>
      </c>
    </row>
    <row r="13" ht="20" customHeight="1">
      <c r="A13" s="14" t="n">
        <v>8</v>
      </c>
      <c r="B13" s="9" t="n">
        <v>15000000</v>
      </c>
      <c r="C13" s="9" t="n">
        <v>0</v>
      </c>
      <c r="D13" s="9" t="n">
        <v>0</v>
      </c>
      <c r="E13" s="9" t="n">
        <v>1425000</v>
      </c>
      <c r="F13" s="9" t="n">
        <v>15000000</v>
      </c>
    </row>
    <row r="14" ht="20" customHeight="1">
      <c r="A14" s="14" t="n">
        <v>9</v>
      </c>
      <c r="B14" s="9" t="n">
        <v>15000000</v>
      </c>
      <c r="C14" s="9" t="n">
        <v>0</v>
      </c>
      <c r="D14" s="9" t="n">
        <v>0</v>
      </c>
      <c r="E14" s="9" t="n">
        <v>1425000</v>
      </c>
      <c r="F14" s="9" t="n">
        <v>15000000</v>
      </c>
    </row>
    <row r="15" ht="20" customHeight="1">
      <c r="A15" s="14" t="n">
        <v>10</v>
      </c>
      <c r="B15" s="9" t="n">
        <v>15000000</v>
      </c>
      <c r="C15" s="9" t="n">
        <v>0</v>
      </c>
      <c r="D15" s="9" t="n">
        <v>0</v>
      </c>
      <c r="E15" s="9" t="n">
        <v>1425000</v>
      </c>
      <c r="F15" s="9" t="n">
        <v>15000000</v>
      </c>
    </row>
    <row r="16" ht="20" customHeight="1">
      <c r="A16" s="15" t="inlineStr">
        <is>
          <t>Total</t>
        </is>
      </c>
      <c r="B16" s="16" t="inlineStr"/>
      <c r="C16" s="17">
        <f>SUM(C6:C15)</f>
        <v/>
      </c>
      <c r="D16" s="17">
        <f>SUM(D6:D15)</f>
        <v/>
      </c>
      <c r="E16" s="17">
        <f>SUM(E6:E15)</f>
        <v/>
      </c>
      <c r="F16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FIXED ASSETS &amp; DEPRECIATION SCHEDULE (₹)</t>
        </is>
      </c>
    </row>
    <row r="2" ht="18" customHeight="1">
      <c r="A2" s="2" t="inlineStr">
        <is>
          <t>Project Cost Valuation &amp; WDV Depreciation Forecast</t>
        </is>
      </c>
    </row>
    <row r="3"/>
    <row r="4">
      <c r="A4" s="3" t="inlineStr">
        <is>
          <t>Project Asset Block &amp; Annual Depreciation</t>
        </is>
      </c>
    </row>
    <row r="5" ht="24" customHeight="1">
      <c r="A5" s="4" t="inlineStr">
        <is>
          <t>Particulars</t>
        </is>
      </c>
      <c r="B5" s="4" t="inlineStr">
        <is>
          <t>FY 2025-26</t>
        </is>
      </c>
      <c r="C5" s="4" t="inlineStr">
        <is>
          <t>FY 2026-27</t>
        </is>
      </c>
      <c r="D5" s="4" t="inlineStr">
        <is>
          <t>FY 2027-28</t>
        </is>
      </c>
      <c r="E5" s="4" t="inlineStr">
        <is>
          <t>FY 2028-29</t>
        </is>
      </c>
      <c r="F5" s="4" t="inlineStr">
        <is>
          <t>FY 2029-30</t>
        </is>
      </c>
    </row>
    <row r="6" ht="20" customHeight="1">
      <c r="A6" s="18" t="inlineStr">
        <is>
          <t>Opening Fixed Assets (Gross Block)</t>
        </is>
      </c>
      <c r="B6" s="19">
        <f>0.0</f>
        <v/>
      </c>
      <c r="C6" s="19">
        <f>B9</f>
        <v/>
      </c>
      <c r="D6" s="19">
        <f>C9</f>
        <v/>
      </c>
      <c r="E6" s="19">
        <f>D9</f>
        <v/>
      </c>
      <c r="F6" s="19">
        <f>E9</f>
        <v/>
      </c>
    </row>
    <row r="7" ht="20" customHeight="1">
      <c r="A7" s="6" t="inlineStr">
        <is>
          <t>Additions (Project Cost)</t>
        </is>
      </c>
      <c r="B7" s="9" t="n">
        <v>15000000</v>
      </c>
      <c r="C7" s="9" t="n">
        <v>0</v>
      </c>
      <c r="D7" s="9" t="n">
        <v>0</v>
      </c>
      <c r="E7" s="9" t="n">
        <v>0</v>
      </c>
      <c r="F7" s="9" t="n">
        <v>0</v>
      </c>
    </row>
    <row r="8" ht="20" customHeight="1">
      <c r="A8" s="6" t="inlineStr">
        <is>
          <t>Deletions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</row>
    <row r="9" ht="20" customHeight="1">
      <c r="A9" s="18" t="inlineStr">
        <is>
          <t>Closing Gross Block</t>
        </is>
      </c>
      <c r="B9" s="19">
        <f>B6+B7-B8</f>
        <v/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</row>
    <row r="10" ht="20" customHeight="1">
      <c r="A10" s="6" t="inlineStr">
        <is>
          <t>Depreciation (WDV method)</t>
        </is>
      </c>
      <c r="B10" s="9">
        <f>B9*Assumptions!B22</f>
        <v/>
      </c>
      <c r="C10" s="9">
        <f>B11*Assumptions!C22</f>
        <v/>
      </c>
      <c r="D10" s="9">
        <f>C11*Assumptions!D22</f>
        <v/>
      </c>
      <c r="E10" s="9">
        <f>D11*Assumptions!E22</f>
        <v/>
      </c>
      <c r="F10" s="9">
        <f>E11*Assumptions!F22</f>
        <v/>
      </c>
    </row>
    <row r="11" ht="20" customHeight="1">
      <c r="A11" s="10" t="inlineStr">
        <is>
          <t>Closing Net Fixed Assets Block</t>
        </is>
      </c>
      <c r="B11" s="11">
        <f>B9-B10</f>
        <v/>
      </c>
      <c r="C11" s="11">
        <f>B11+C7-C8-C10</f>
        <v/>
      </c>
      <c r="D11" s="11">
        <f>C11+D7-D8-D10</f>
        <v/>
      </c>
      <c r="E11" s="11">
        <f>D11+E7-E8-E10</f>
        <v/>
      </c>
      <c r="F11" s="11">
        <f>E11+F7-F8-F10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COMPARATIVE STATEMENT OF PROFIT &amp; LOSS (₹)</t>
        </is>
      </c>
    </row>
    <row r="2" ht="18" customHeight="1">
      <c r="A2" s="2" t="inlineStr">
        <is>
          <t>5-Year Financial Revenue &amp; Profitability Projections</t>
        </is>
      </c>
    </row>
    <row r="3"/>
    <row r="4" ht="24" customHeight="1">
      <c r="A4" s="4" t="inlineStr">
        <is>
          <t>Particulars</t>
        </is>
      </c>
      <c r="B4" s="4" t="inlineStr">
        <is>
          <t>FY 2025-26</t>
        </is>
      </c>
      <c r="C4" s="4" t="inlineStr">
        <is>
          <t>FY 2026-27</t>
        </is>
      </c>
      <c r="D4" s="4" t="inlineStr">
        <is>
          <t>FY 2027-28</t>
        </is>
      </c>
      <c r="E4" s="4" t="inlineStr">
        <is>
          <t>FY 2028-29</t>
        </is>
      </c>
      <c r="F4" s="4" t="inlineStr">
        <is>
          <t>FY 2029-30</t>
        </is>
      </c>
    </row>
    <row r="5" ht="20" customHeight="1">
      <c r="A5" s="18" t="inlineStr">
        <is>
          <t>Revenue from Net Sales</t>
        </is>
      </c>
      <c r="B5" s="19" t="n">
        <v>100000000</v>
      </c>
      <c r="C5" s="19">
        <f>B5*(1+Assumptions!C18)</f>
        <v/>
      </c>
      <c r="D5" s="19">
        <f>C5*(1+Assumptions!D18)</f>
        <v/>
      </c>
      <c r="E5" s="19">
        <f>D5*(1+Assumptions!E18)</f>
        <v/>
      </c>
      <c r="F5" s="19">
        <f>E5*(1+Assumptions!F18)</f>
        <v/>
      </c>
    </row>
    <row r="6" ht="20" customHeight="1">
      <c r="A6" s="6" t="inlineStr">
        <is>
          <t>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</row>
    <row r="7" ht="20" customHeight="1">
      <c r="A7" s="10" t="inlineStr">
        <is>
          <t>Total Revenue</t>
        </is>
      </c>
      <c r="B7" s="11">
        <f>B5+B6</f>
        <v/>
      </c>
      <c r="C7" s="11">
        <f>C5+C6</f>
        <v/>
      </c>
      <c r="D7" s="11">
        <f>D5+D6</f>
        <v/>
      </c>
      <c r="E7" s="11">
        <f>E5+E6</f>
        <v/>
      </c>
      <c r="F7" s="11">
        <f>F5+F6</f>
        <v/>
      </c>
    </row>
    <row r="8" ht="20" customHeight="1">
      <c r="A8" s="6" t="inlineStr">
        <is>
          <t>Less: Cost of Materials Consumed</t>
        </is>
      </c>
      <c r="B8" s="9">
        <f>B5*Assumptions!B19</f>
        <v/>
      </c>
      <c r="C8" s="9">
        <f>C5*Assumptions!C19</f>
        <v/>
      </c>
      <c r="D8" s="9">
        <f>D5*Assumptions!D19</f>
        <v/>
      </c>
      <c r="E8" s="9">
        <f>E5*Assumptions!E19</f>
        <v/>
      </c>
      <c r="F8" s="9">
        <f>F5*Assumptions!F19</f>
        <v/>
      </c>
    </row>
    <row r="9" ht="20" customHeight="1">
      <c r="A9" s="6" t="inlineStr">
        <is>
          <t>Less: Employee Benefits Expense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</row>
    <row r="10" ht="20" customHeight="1">
      <c r="A10" s="6" t="inlineStr">
        <is>
          <t>Less: Other Operating Expenses</t>
        </is>
      </c>
      <c r="B10" s="9">
        <f>B5*Assumptions!B20</f>
        <v/>
      </c>
      <c r="C10" s="9">
        <f>C5*Assumptions!C20</f>
        <v/>
      </c>
      <c r="D10" s="9">
        <f>D5*Assumptions!D20</f>
        <v/>
      </c>
      <c r="E10" s="9">
        <f>E5*Assumptions!E20</f>
        <v/>
      </c>
      <c r="F10" s="9">
        <f>F5*Assumptions!F20</f>
        <v/>
      </c>
    </row>
    <row r="11" ht="20" customHeight="1">
      <c r="A11" s="10" t="inlineStr">
        <is>
          <t>Total Operating Expenses</t>
        </is>
      </c>
      <c r="B11" s="11">
        <f>B8+B9+B10</f>
        <v/>
      </c>
      <c r="C11" s="11">
        <f>C8+C9+C10</f>
        <v/>
      </c>
      <c r="D11" s="11">
        <f>D8+D9+D10</f>
        <v/>
      </c>
      <c r="E11" s="11">
        <f>E8+E9+E10</f>
        <v/>
      </c>
      <c r="F11" s="11">
        <f>F8+F9+F10</f>
        <v/>
      </c>
    </row>
    <row r="12" ht="20" customHeight="1">
      <c r="A12" s="18" t="inlineStr">
        <is>
          <t>Earnings before Interest, Tax, Dep &amp; Amort (EBITDA)</t>
        </is>
      </c>
      <c r="B12" s="19">
        <f>B7-B11</f>
        <v/>
      </c>
      <c r="C12" s="19">
        <f>C7-C11</f>
        <v/>
      </c>
      <c r="D12" s="19">
        <f>D7-D11</f>
        <v/>
      </c>
      <c r="E12" s="19">
        <f>E7-E11</f>
        <v/>
      </c>
      <c r="F12" s="19">
        <f>F7-F11</f>
        <v/>
      </c>
    </row>
    <row r="13" ht="20" customHeight="1">
      <c r="A13" s="18" t="inlineStr">
        <is>
          <t>EBITDA Margin %</t>
        </is>
      </c>
      <c r="B13" s="20">
        <f>B12/B5</f>
        <v/>
      </c>
      <c r="C13" s="20">
        <f>C12/C5</f>
        <v/>
      </c>
      <c r="D13" s="20">
        <f>D12/D5</f>
        <v/>
      </c>
      <c r="E13" s="20">
        <f>E12/E5</f>
        <v/>
      </c>
      <c r="F13" s="20">
        <f>F12/F5</f>
        <v/>
      </c>
    </row>
    <row r="14" ht="20" customHeight="1">
      <c r="A14" s="6" t="inlineStr">
        <is>
          <t>Less: Depreciation &amp; Amortization</t>
        </is>
      </c>
      <c r="B14" s="9">
        <f>Depreciation!B10</f>
        <v/>
      </c>
      <c r="C14" s="9">
        <f>Depreciation!C10</f>
        <v/>
      </c>
      <c r="D14" s="9">
        <f>Depreciation!D10</f>
        <v/>
      </c>
      <c r="E14" s="9">
        <f>Depreciation!E10</f>
        <v/>
      </c>
      <c r="F14" s="9">
        <f>Depreciation!F10</f>
        <v/>
      </c>
    </row>
    <row r="15" ht="20" customHeight="1">
      <c r="A15" s="18" t="inlineStr">
        <is>
          <t>Operating Profit (EBIT)</t>
        </is>
      </c>
      <c r="B15" s="19">
        <f>B12-B14</f>
        <v/>
      </c>
      <c r="C15" s="19">
        <f>C12-C14</f>
        <v/>
      </c>
      <c r="D15" s="19">
        <f>D12-D14</f>
        <v/>
      </c>
      <c r="E15" s="19">
        <f>E12-E14</f>
        <v/>
      </c>
      <c r="F15" s="19">
        <f>F12-F14</f>
        <v/>
      </c>
    </row>
    <row r="16" ht="20" customHeight="1">
      <c r="A16" s="6" t="inlineStr">
        <is>
          <t>Less: Term Loan Interest Expenses</t>
        </is>
      </c>
      <c r="B16" s="9">
        <f>'Balance Sheet'!B11*Assumptions!B23</f>
        <v/>
      </c>
      <c r="C16" s="9">
        <f>'Balance Sheet'!B11*Assumptions!C23</f>
        <v/>
      </c>
      <c r="D16" s="9">
        <f>'Balance Sheet'!C11*Assumptions!D23</f>
        <v/>
      </c>
      <c r="E16" s="9" t="n">
        <v>0</v>
      </c>
      <c r="F16" s="9" t="n">
        <v>0</v>
      </c>
    </row>
    <row r="17" ht="20" customHeight="1">
      <c r="A17" s="18" t="inlineStr">
        <is>
          <t>Profit Before Taxes (PBT)</t>
        </is>
      </c>
      <c r="B17" s="19">
        <f>B15-B16</f>
        <v/>
      </c>
      <c r="C17" s="19">
        <f>C15-C16</f>
        <v/>
      </c>
      <c r="D17" s="19">
        <f>D15-D16</f>
        <v/>
      </c>
      <c r="E17" s="19">
        <f>E15-E16</f>
        <v/>
      </c>
      <c r="F17" s="19">
        <f>F15-F16</f>
        <v/>
      </c>
    </row>
    <row r="18" ht="20" customHeight="1">
      <c r="A18" s="6" t="inlineStr">
        <is>
          <t>Less: Income Tax Provision</t>
        </is>
      </c>
      <c r="B18" s="9">
        <f>IF(B17&gt;0,B17*Assumptions!B21,0)</f>
        <v/>
      </c>
      <c r="C18" s="9">
        <f>IF(C17&gt;0,C17*Assumptions!C21,0)</f>
        <v/>
      </c>
      <c r="D18" s="9">
        <f>IF(D17&gt;0,D17*Assumptions!D21,0)</f>
        <v/>
      </c>
      <c r="E18" s="9" t="n">
        <v>0</v>
      </c>
      <c r="F18" s="9" t="n">
        <v>0</v>
      </c>
    </row>
    <row r="19" ht="20" customHeight="1">
      <c r="A19" s="10" t="inlineStr">
        <is>
          <t>Net Profit After Tax (PAT)</t>
        </is>
      </c>
      <c r="B19" s="11">
        <f>B17-B18</f>
        <v/>
      </c>
      <c r="C19" s="11">
        <f>C17-C18</f>
        <v/>
      </c>
      <c r="D19" s="11">
        <f>D17-D18</f>
        <v/>
      </c>
      <c r="E19" s="11">
        <f>E17-E18</f>
        <v/>
      </c>
      <c r="F19" s="11">
        <f>F17-F18</f>
        <v/>
      </c>
    </row>
    <row r="20" ht="20" customHeight="1">
      <c r="A20" s="18" t="inlineStr">
        <is>
          <t>PAT Margin %</t>
        </is>
      </c>
      <c r="B20" s="20">
        <f>B19/B5</f>
        <v/>
      </c>
      <c r="C20" s="20">
        <f>C19/C5</f>
        <v/>
      </c>
      <c r="D20" s="20">
        <f>D19/D5</f>
        <v/>
      </c>
      <c r="E20" s="20">
        <f>E19/E5</f>
        <v/>
      </c>
      <c r="F20" s="20">
        <f>F19/F5</f>
        <v/>
      </c>
    </row>
    <row r="21" ht="20" customHeight="1">
      <c r="A21" s="10" t="inlineStr">
        <is>
          <t>Cash Profit (PAT + Depreciation)</t>
        </is>
      </c>
      <c r="B21" s="11">
        <f>B19+B14</f>
        <v/>
      </c>
      <c r="C21" s="11">
        <f>C19+C14</f>
        <v/>
      </c>
      <c r="D21" s="11">
        <f>D19+D14</f>
        <v/>
      </c>
      <c r="E21" s="11">
        <f>E19+E14</f>
        <v/>
      </c>
      <c r="F21" s="11">
        <f>F19+F14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 outlineLevelCol="0"/>
  <cols>
    <col width="6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COMPARATIVE BALANCE SHEET (₹)</t>
        </is>
      </c>
    </row>
    <row r="2" ht="18" customHeight="1">
      <c r="A2" s="2" t="inlineStr">
        <is>
          <t>Projected Sources &amp; Applications of Corporate Capital Funds</t>
        </is>
      </c>
    </row>
    <row r="3"/>
    <row r="4" ht="24" customHeight="1">
      <c r="A4" s="4" t="inlineStr">
        <is>
          <t>Particulars</t>
        </is>
      </c>
      <c r="B4" s="4" t="inlineStr">
        <is>
          <t>FY 2025-26</t>
        </is>
      </c>
      <c r="C4" s="4" t="inlineStr">
        <is>
          <t>FY 2026-27</t>
        </is>
      </c>
      <c r="D4" s="4" t="inlineStr">
        <is>
          <t>FY 2027-28</t>
        </is>
      </c>
      <c r="E4" s="4" t="inlineStr">
        <is>
          <t>FY 2028-29</t>
        </is>
      </c>
      <c r="F4" s="4" t="inlineStr">
        <is>
          <t>FY 2029-30</t>
        </is>
      </c>
    </row>
    <row r="5" ht="20" customHeight="1">
      <c r="A5" s="5" t="inlineStr">
        <is>
          <t>EQUITY &amp; LIABILITIES</t>
        </is>
      </c>
      <c r="B5" s="21" t="n"/>
      <c r="C5" s="21" t="n"/>
      <c r="D5" s="21" t="n"/>
      <c r="E5" s="21" t="n"/>
      <c r="F5" s="21" t="n"/>
    </row>
    <row r="6" ht="20" customHeight="1">
      <c r="A6" s="5" t="inlineStr">
        <is>
          <t>Shareholders' Funds</t>
        </is>
      </c>
      <c r="B6" s="21" t="n"/>
      <c r="C6" s="21" t="n"/>
      <c r="D6" s="21" t="n"/>
      <c r="E6" s="21" t="n"/>
      <c r="F6" s="21" t="n"/>
    </row>
    <row r="7" ht="20" customHeight="1">
      <c r="A7" s="6" t="inlineStr">
        <is>
          <t xml:space="preserve">  - Share Capital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</row>
    <row r="8" ht="20" customHeight="1">
      <c r="A8" s="6" t="inlineStr">
        <is>
          <t xml:space="preserve">  - Reserves &amp; Surplus (Retained Earnings)</t>
        </is>
      </c>
      <c r="B8" s="9">
        <f>'Profit &amp; Loss'!B19</f>
        <v/>
      </c>
      <c r="C8" s="9">
        <f>B8+'Profit &amp; Loss'!C19</f>
        <v/>
      </c>
      <c r="D8" s="9">
        <f>C8+'Profit &amp; Loss'!D19</f>
        <v/>
      </c>
      <c r="E8" s="9">
        <f>D8+'Profit &amp; Loss'!E19</f>
        <v/>
      </c>
      <c r="F8" s="9">
        <f>E8+'Profit &amp; Loss'!F19</f>
        <v/>
      </c>
    </row>
    <row r="9" ht="20" customHeight="1">
      <c r="A9" s="18" t="inlineStr">
        <is>
          <t>Tangible Net Worth (A)</t>
        </is>
      </c>
      <c r="B9" s="19">
        <f>B7+B8</f>
        <v/>
      </c>
      <c r="C9" s="19">
        <f>C7+C8</f>
        <v/>
      </c>
      <c r="D9" s="19">
        <f>D7+D8</f>
        <v/>
      </c>
      <c r="E9" s="19">
        <f>E7+E8</f>
        <v/>
      </c>
      <c r="F9" s="19">
        <f>F7+F8</f>
        <v/>
      </c>
    </row>
    <row r="10" ht="20" customHeight="1">
      <c r="A10" s="5" t="inlineStr">
        <is>
          <t>Non-Current Liabilities</t>
        </is>
      </c>
      <c r="B10" s="21" t="n"/>
      <c r="C10" s="21" t="n"/>
      <c r="D10" s="21" t="n"/>
      <c r="E10" s="21" t="n"/>
      <c r="F10" s="21" t="n"/>
    </row>
    <row r="11" ht="20" customHeight="1">
      <c r="A11" s="6" t="inlineStr">
        <is>
          <t xml:space="preserve">  - Long-Term Borrowings (Term Loan)</t>
        </is>
      </c>
      <c r="B11" s="9" t="n">
        <v>15000000</v>
      </c>
      <c r="C11" s="9">
        <f>B11*0.9</f>
        <v/>
      </c>
      <c r="D11" s="9">
        <f>C11*0.9</f>
        <v/>
      </c>
      <c r="E11" s="9">
        <f>D11*0.9</f>
        <v/>
      </c>
      <c r="F11" s="9">
        <f>E11*0.9</f>
        <v/>
      </c>
    </row>
    <row r="12" ht="20" customHeight="1">
      <c r="A12" s="18" t="inlineStr">
        <is>
          <t>Non-Current Liabilities (B)</t>
        </is>
      </c>
      <c r="B12" s="19">
        <f>B11</f>
        <v/>
      </c>
      <c r="C12" s="19">
        <f>C11</f>
        <v/>
      </c>
      <c r="D12" s="19">
        <f>D11</f>
        <v/>
      </c>
      <c r="E12" s="19">
        <f>E11</f>
        <v/>
      </c>
      <c r="F12" s="19">
        <f>F11</f>
        <v/>
      </c>
    </row>
    <row r="13" ht="20" customHeight="1">
      <c r="A13" s="5" t="inlineStr">
        <is>
          <t>Current Liabilities</t>
        </is>
      </c>
      <c r="B13" s="21" t="n"/>
      <c r="C13" s="21" t="n"/>
      <c r="D13" s="21" t="n"/>
      <c r="E13" s="21" t="n"/>
      <c r="F13" s="21" t="n"/>
    </row>
    <row r="14" ht="20" customHeight="1">
      <c r="A14" s="6" t="inlineStr">
        <is>
          <t xml:space="preserve">  - Short-Term Borrowings (Cash Credit)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</row>
    <row r="15" ht="20" customHeight="1">
      <c r="A15" s="6" t="inlineStr">
        <is>
          <t xml:space="preserve">  - Trade Payables (Sundry Creditors)</t>
        </is>
      </c>
      <c r="B15" s="9">
        <f>'Profit &amp; Loss'!B8*Assumptions!B26/365</f>
        <v/>
      </c>
      <c r="C15" s="9">
        <f>'Profit &amp; Loss'!C8*Assumptions!C26/365</f>
        <v/>
      </c>
      <c r="D15" s="9">
        <f>'Profit &amp; Loss'!D8*Assumptions!D26/365</f>
        <v/>
      </c>
      <c r="E15" s="9">
        <f>D15</f>
        <v/>
      </c>
      <c r="F15" s="9">
        <f>E15</f>
        <v/>
      </c>
    </row>
    <row r="16" ht="20" customHeight="1">
      <c r="A16" s="6" t="inlineStr">
        <is>
          <t xml:space="preserve">  - Other Current Liabilities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</row>
    <row r="17" ht="20" customHeight="1">
      <c r="A17" s="18" t="inlineStr">
        <is>
          <t>Current Liabilities (C)</t>
        </is>
      </c>
      <c r="B17" s="19">
        <f>B14+B15+B16</f>
        <v/>
      </c>
      <c r="C17" s="19">
        <f>C14+C15+C16</f>
        <v/>
      </c>
      <c r="D17" s="19">
        <f>D14+D15+D16</f>
        <v/>
      </c>
      <c r="E17" s="19">
        <f>E14+E15+E16</f>
        <v/>
      </c>
      <c r="F17" s="19">
        <f>F14+F15+F16</f>
        <v/>
      </c>
    </row>
    <row r="18" ht="20" customHeight="1">
      <c r="A18" s="10" t="inlineStr">
        <is>
          <t>TOTAL OUTSIDE LIABILITIES (B + C)</t>
        </is>
      </c>
      <c r="B18" s="11">
        <f>B12+B17</f>
        <v/>
      </c>
      <c r="C18" s="11">
        <f>C12+C17</f>
        <v/>
      </c>
      <c r="D18" s="11">
        <f>D12+D17</f>
        <v/>
      </c>
      <c r="E18" s="11">
        <f>E12+E17</f>
        <v/>
      </c>
      <c r="F18" s="11">
        <f>F12+F17</f>
        <v/>
      </c>
    </row>
    <row r="19" ht="20" customHeight="1">
      <c r="A19" s="10" t="inlineStr">
        <is>
          <t>TOTAL EQUITY &amp; LIABILITIES (A + B + C)</t>
        </is>
      </c>
      <c r="B19" s="11">
        <f>B9+B12+B17</f>
        <v/>
      </c>
      <c r="C19" s="11">
        <f>C9+C12+C17</f>
        <v/>
      </c>
      <c r="D19" s="11">
        <f>D9+D12+D17</f>
        <v/>
      </c>
      <c r="E19" s="11">
        <f>E9+E12+E17</f>
        <v/>
      </c>
      <c r="F19" s="11">
        <f>F9+F12+F17</f>
        <v/>
      </c>
    </row>
    <row r="20" ht="20" customHeight="1">
      <c r="A20" s="5" t="inlineStr">
        <is>
          <t>APPLICATION &amp; ASSETS</t>
        </is>
      </c>
      <c r="B20" s="21" t="n"/>
      <c r="C20" s="21" t="n"/>
      <c r="D20" s="21" t="n"/>
      <c r="E20" s="21" t="n"/>
      <c r="F20" s="21" t="n"/>
    </row>
    <row r="21" ht="20" customHeight="1">
      <c r="A21" s="5" t="inlineStr">
        <is>
          <t>Non-Current Assets</t>
        </is>
      </c>
      <c r="B21" s="21" t="n"/>
      <c r="C21" s="21" t="n"/>
      <c r="D21" s="21" t="n"/>
      <c r="E21" s="21" t="n"/>
      <c r="F21" s="21" t="n"/>
    </row>
    <row r="22" ht="20" customHeight="1">
      <c r="A22" s="6" t="inlineStr">
        <is>
          <t xml:space="preserve">  - Net Fixed Assets Block (WDV)</t>
        </is>
      </c>
      <c r="B22" s="9">
        <f>Depreciation!B11</f>
        <v/>
      </c>
      <c r="C22" s="9">
        <f>Depreciation!C11</f>
        <v/>
      </c>
      <c r="D22" s="9">
        <f>Depreciation!D11</f>
        <v/>
      </c>
      <c r="E22" s="9">
        <f>Depreciation!E11</f>
        <v/>
      </c>
      <c r="F22" s="9">
        <f>Depreciation!F11</f>
        <v/>
      </c>
    </row>
    <row r="23" ht="20" customHeight="1">
      <c r="A23" s="6" t="inlineStr">
        <is>
          <t xml:space="preserve">  - Non-Current Investments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</row>
    <row r="24" ht="20" customHeight="1">
      <c r="A24" s="18" t="inlineStr">
        <is>
          <t>Non-Current Assets (D)</t>
        </is>
      </c>
      <c r="B24" s="19">
        <f>B22+B23</f>
        <v/>
      </c>
      <c r="C24" s="19">
        <f>C22+C23</f>
        <v/>
      </c>
      <c r="D24" s="19">
        <f>D22+D23</f>
        <v/>
      </c>
      <c r="E24" s="19">
        <f>E22+E23</f>
        <v/>
      </c>
      <c r="F24" s="19">
        <f>F22+F23</f>
        <v/>
      </c>
    </row>
    <row r="25" ht="20" customHeight="1">
      <c r="A25" s="5" t="inlineStr">
        <is>
          <t>Current Assets</t>
        </is>
      </c>
      <c r="B25" s="21" t="n"/>
      <c r="C25" s="21" t="n"/>
      <c r="D25" s="21" t="n"/>
      <c r="E25" s="21" t="n"/>
      <c r="F25" s="21" t="n"/>
    </row>
    <row r="26" ht="20" customHeight="1">
      <c r="A26" s="6" t="inlineStr">
        <is>
          <t xml:space="preserve">  - Inventories / Stock-in-Hand</t>
        </is>
      </c>
      <c r="B26" s="9">
        <f>'Profit &amp; Loss'!B8*Assumptions!B25/365</f>
        <v/>
      </c>
      <c r="C26" s="9">
        <f>'Profit &amp; Loss'!C8*Assumptions!C25/365</f>
        <v/>
      </c>
      <c r="D26" s="9">
        <f>'Profit &amp; Loss'!D8*Assumptions!D25/365</f>
        <v/>
      </c>
      <c r="E26" s="9">
        <f>D26</f>
        <v/>
      </c>
      <c r="F26" s="9">
        <f>E26</f>
        <v/>
      </c>
    </row>
    <row r="27" ht="20" customHeight="1">
      <c r="A27" s="6" t="inlineStr">
        <is>
          <t xml:space="preserve">  - Trade Receivables (Sundry Debtors)</t>
        </is>
      </c>
      <c r="B27" s="9">
        <f>'Profit &amp; Loss'!B5*Assumptions!B24/365</f>
        <v/>
      </c>
      <c r="C27" s="9">
        <f>'Profit &amp; Loss'!C5*Assumptions!C24/365</f>
        <v/>
      </c>
      <c r="D27" s="9">
        <f>'Profit &amp; Loss'!D5*Assumptions!D24/365</f>
        <v/>
      </c>
      <c r="E27" s="9">
        <f>'Profit &amp; Loss'!E5*Assumptions!E24/365</f>
        <v/>
      </c>
      <c r="F27" s="9">
        <f>'Profit &amp; Loss'!F5*Assumptions!F24/365</f>
        <v/>
      </c>
    </row>
    <row r="28" ht="20" customHeight="1">
      <c r="A28" s="6" t="inlineStr">
        <is>
          <t xml:space="preserve">  - Cash and Bank Balances</t>
        </is>
      </c>
      <c r="B28" s="9">
        <f>'Cash Flow'!B23</f>
        <v/>
      </c>
      <c r="C28" s="9">
        <f>'Cash Flow'!C23</f>
        <v/>
      </c>
      <c r="D28" s="9">
        <f>'Cash Flow'!D23</f>
        <v/>
      </c>
      <c r="E28" s="9">
        <f>'Cash Flow'!E23</f>
        <v/>
      </c>
      <c r="F28" s="9">
        <f>'Cash Flow'!F23</f>
        <v/>
      </c>
    </row>
    <row r="29" ht="20" customHeight="1">
      <c r="A29" s="6" t="inlineStr">
        <is>
          <t xml:space="preserve">  - Other Current Assets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</row>
    <row r="30" ht="20" customHeight="1">
      <c r="A30" s="6" t="inlineStr">
        <is>
          <t xml:space="preserve">  - Balancing Debit Account</t>
        </is>
      </c>
      <c r="B30" s="9">
        <f>B19-B24-B26-B27-B28-B29</f>
        <v/>
      </c>
      <c r="C30" s="9">
        <f>C19-C24-C26-C27-C28-C29</f>
        <v/>
      </c>
      <c r="D30" s="9">
        <f>D19-D24-D26-D27-D28-D29</f>
        <v/>
      </c>
      <c r="E30" s="9">
        <f>E19-E24-E26-E27-E28-E29</f>
        <v/>
      </c>
      <c r="F30" s="9">
        <f>F19-F24-F26-F27-F28-F29</f>
        <v/>
      </c>
    </row>
    <row r="31" ht="20" customHeight="1">
      <c r="A31" s="18" t="inlineStr">
        <is>
          <t>Total Current Assets (E)</t>
        </is>
      </c>
      <c r="B31" s="19">
        <f>B26+B27+B28+B29+B30</f>
        <v/>
      </c>
      <c r="C31" s="19">
        <f>C26+C27+C28+C29+C30</f>
        <v/>
      </c>
      <c r="D31" s="19">
        <f>D26+D27+D28+D29+D30</f>
        <v/>
      </c>
      <c r="E31" s="19">
        <f>E26+E27+E28+E29+E30</f>
        <v/>
      </c>
      <c r="F31" s="19">
        <f>F26+F27+F28+F29+F30</f>
        <v/>
      </c>
    </row>
    <row r="32" ht="20" customHeight="1">
      <c r="A32" s="10" t="inlineStr">
        <is>
          <t>TOTAL ASSETS (D + E)</t>
        </is>
      </c>
      <c r="B32" s="11">
        <f>B24+B31</f>
        <v/>
      </c>
      <c r="C32" s="11">
        <f>C24+C31</f>
        <v/>
      </c>
      <c r="D32" s="11">
        <f>D24+D31</f>
        <v/>
      </c>
      <c r="E32" s="11">
        <f>E24+E31</f>
        <v/>
      </c>
      <c r="F32" s="11">
        <f>F24+F31</f>
        <v/>
      </c>
    </row>
    <row r="33" ht="20" customHeight="1">
      <c r="A33" s="22" t="inlineStr">
        <is>
          <t>Balance Sheet Reconciliation Check</t>
        </is>
      </c>
      <c r="B33" s="23">
        <f>B32-B19</f>
        <v/>
      </c>
      <c r="C33" s="23">
        <f>C32-C19</f>
        <v/>
      </c>
      <c r="D33" s="23">
        <f>D32-D19</f>
        <v/>
      </c>
      <c r="E33" s="23">
        <f>E32-E19</f>
        <v/>
      </c>
      <c r="F33" s="23">
        <f>F32-F19</f>
        <v/>
      </c>
    </row>
  </sheetData>
  <mergeCells count="7">
    <mergeCell ref="A10:F10"/>
    <mergeCell ref="A13:F13"/>
    <mergeCell ref="A5:F5"/>
    <mergeCell ref="A6:F6"/>
    <mergeCell ref="A20:F20"/>
    <mergeCell ref="A21:F21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WORKING CAPITAL MPBF ASSESSMENT (₹)</t>
        </is>
      </c>
    </row>
    <row r="2" ht="18" customHeight="1">
      <c r="A2" s="2" t="inlineStr">
        <is>
          <t>Tandon Committee (Second Method) Calculations</t>
        </is>
      </c>
    </row>
    <row r="3"/>
    <row r="4">
      <c r="A4" s="3" t="inlineStr">
        <is>
          <t>Maximum Permissible Bank Finance</t>
        </is>
      </c>
    </row>
    <row r="5" ht="24" customHeight="1">
      <c r="A5" s="4" t="inlineStr">
        <is>
          <t>Particulars</t>
        </is>
      </c>
      <c r="B5" s="4" t="inlineStr">
        <is>
          <t>FY 2025-26</t>
        </is>
      </c>
      <c r="C5" s="4" t="inlineStr">
        <is>
          <t>FY 2026-27</t>
        </is>
      </c>
      <c r="D5" s="4" t="inlineStr">
        <is>
          <t>FY 2027-28</t>
        </is>
      </c>
      <c r="E5" s="4" t="inlineStr">
        <is>
          <t>FY 2028-29</t>
        </is>
      </c>
      <c r="F5" s="4" t="inlineStr">
        <is>
          <t>FY 2029-30</t>
        </is>
      </c>
    </row>
    <row r="6" ht="20" customHeight="1">
      <c r="A6" s="18" t="inlineStr">
        <is>
          <t>Total Current Assets (TCA)</t>
        </is>
      </c>
      <c r="B6" s="19">
        <f>'Balance Sheet'!B31-'Balance Sheet'!B30</f>
        <v/>
      </c>
      <c r="C6" s="19">
        <f>'Balance Sheet'!C31-'Balance Sheet'!C30</f>
        <v/>
      </c>
      <c r="D6" s="19">
        <f>'Balance Sheet'!D31-'Balance Sheet'!D30</f>
        <v/>
      </c>
      <c r="E6" s="19">
        <f>'Balance Sheet'!E31-'Balance Sheet'!E30</f>
        <v/>
      </c>
      <c r="F6" s="19">
        <f>'Balance Sheet'!F31-'Balance Sheet'!F30</f>
        <v/>
      </c>
    </row>
    <row r="7" ht="20" customHeight="1">
      <c r="A7" s="6" t="inlineStr">
        <is>
          <t>Less: Current Liabilities (excluding bank borrowings)</t>
        </is>
      </c>
      <c r="B7" s="9">
        <f>'Balance Sheet'!B15+'Balance Sheet'!B16</f>
        <v/>
      </c>
      <c r="C7" s="9">
        <f>'Balance Sheet'!C15+'Balance Sheet'!C16</f>
        <v/>
      </c>
      <c r="D7" s="9">
        <f>'Balance Sheet'!D15+'Balance Sheet'!D16</f>
        <v/>
      </c>
      <c r="E7" s="9">
        <f>'Balance Sheet'!E15+'Balance Sheet'!E16</f>
        <v/>
      </c>
      <c r="F7" s="9">
        <f>'Balance Sheet'!F15+'Balance Sheet'!F16</f>
        <v/>
      </c>
    </row>
    <row r="8" ht="20" customHeight="1">
      <c r="A8" s="18" t="inlineStr">
        <is>
          <t>Working Capital Gap (WCG)</t>
        </is>
      </c>
      <c r="B8" s="19">
        <f>B6-B7</f>
        <v/>
      </c>
      <c r="C8" s="19">
        <f>C6-C7</f>
        <v/>
      </c>
      <c r="D8" s="19">
        <f>D6-D7</f>
        <v/>
      </c>
      <c r="E8" s="19">
        <f>E6-E7</f>
        <v/>
      </c>
      <c r="F8" s="19">
        <f>F6-F7</f>
        <v/>
      </c>
    </row>
    <row r="9" ht="20" customHeight="1">
      <c r="A9" s="6" t="inlineStr">
        <is>
          <t>Less: 25% of TCA as Margin (Promoter Contribution)</t>
        </is>
      </c>
      <c r="B9" s="9">
        <f>0.25*B6</f>
        <v/>
      </c>
      <c r="C9" s="9">
        <f>0.25*C6</f>
        <v/>
      </c>
      <c r="D9" s="9">
        <f>0.25*D6</f>
        <v/>
      </c>
      <c r="E9" s="9">
        <f>0.25*E6</f>
        <v/>
      </c>
      <c r="F9" s="9">
        <f>0.25*F6</f>
        <v/>
      </c>
    </row>
    <row r="10" ht="20" customHeight="1">
      <c r="A10" s="10" t="inlineStr">
        <is>
          <t>Maximum Permissible Bank Finance (MPBF)</t>
        </is>
      </c>
      <c r="B10" s="11">
        <f>B8-B9</f>
        <v/>
      </c>
      <c r="C10" s="11">
        <f>C8-C9</f>
        <v/>
      </c>
      <c r="D10" s="11">
        <f>D8-D9</f>
        <v/>
      </c>
      <c r="E10" s="11">
        <f>E8-E9</f>
        <v/>
      </c>
      <c r="F10" s="11">
        <f>F8-F9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CASH CREDIT DRAWING POWER STATEMENT (₹)</t>
        </is>
      </c>
    </row>
    <row r="2" ht="18" customHeight="1">
      <c r="A2" s="2" t="inlineStr">
        <is>
          <t>Margins &amp; Drawing Power Allocation against Inventory &amp; Debtors</t>
        </is>
      </c>
    </row>
    <row r="3"/>
    <row r="4">
      <c r="A4" s="3" t="inlineStr">
        <is>
          <t>Drawing Power Calculations</t>
        </is>
      </c>
    </row>
    <row r="5" ht="24" customHeight="1">
      <c r="A5" s="4" t="inlineStr">
        <is>
          <t>Particulars</t>
        </is>
      </c>
      <c r="B5" s="4" t="inlineStr">
        <is>
          <t>FY 2025-26</t>
        </is>
      </c>
      <c r="C5" s="4" t="inlineStr">
        <is>
          <t>FY 2026-27</t>
        </is>
      </c>
      <c r="D5" s="4" t="inlineStr">
        <is>
          <t>FY 2027-28</t>
        </is>
      </c>
      <c r="E5" s="4" t="inlineStr">
        <is>
          <t>FY 2028-29</t>
        </is>
      </c>
      <c r="F5" s="4" t="inlineStr">
        <is>
          <t>FY 2029-30</t>
        </is>
      </c>
    </row>
    <row r="6" ht="20" customHeight="1">
      <c r="A6" s="6" t="inlineStr">
        <is>
          <t>Total Inventories / Stock</t>
        </is>
      </c>
      <c r="B6" s="9">
        <f>'Balance Sheet'!B26</f>
        <v/>
      </c>
      <c r="C6" s="9">
        <f>'Balance Sheet'!C26</f>
        <v/>
      </c>
      <c r="D6" s="9">
        <f>'Balance Sheet'!D26</f>
        <v/>
      </c>
      <c r="E6" s="9">
        <f>'Balance Sheet'!E26</f>
        <v/>
      </c>
      <c r="F6" s="9">
        <f>'Balance Sheet'!F26</f>
        <v/>
      </c>
    </row>
    <row r="7" ht="20" customHeight="1">
      <c r="A7" s="6" t="inlineStr">
        <is>
          <t>Total Debtors / Receivables</t>
        </is>
      </c>
      <c r="B7" s="9">
        <f>'Balance Sheet'!B27</f>
        <v/>
      </c>
      <c r="C7" s="9">
        <f>'Balance Sheet'!C27</f>
        <v/>
      </c>
      <c r="D7" s="9">
        <f>'Balance Sheet'!D27</f>
        <v/>
      </c>
      <c r="E7" s="9">
        <f>'Balance Sheet'!E27</f>
        <v/>
      </c>
      <c r="F7" s="9">
        <f>'Balance Sheet'!F27</f>
        <v/>
      </c>
    </row>
    <row r="8" ht="20" customHeight="1">
      <c r="A8" s="18" t="inlineStr">
        <is>
          <t>Total Security Cover Offered</t>
        </is>
      </c>
      <c r="B8" s="19">
        <f>B6+B7</f>
        <v/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</row>
    <row r="9" ht="20" customHeight="1">
      <c r="A9" s="6" t="inlineStr">
        <is>
          <t>Less: Trade Creditors (Sundry Creditors)</t>
        </is>
      </c>
      <c r="B9" s="9">
        <f>'Balance Sheet'!B15</f>
        <v/>
      </c>
      <c r="C9" s="9">
        <f>'Balance Sheet'!C15</f>
        <v/>
      </c>
      <c r="D9" s="9">
        <f>'Balance Sheet'!D15</f>
        <v/>
      </c>
      <c r="E9" s="9">
        <f>'Balance Sheet'!E15</f>
        <v/>
      </c>
      <c r="F9" s="9">
        <f>'Balance Sheet'!F15</f>
        <v/>
      </c>
    </row>
    <row r="10" ht="20" customHeight="1">
      <c r="A10" s="18" t="inlineStr">
        <is>
          <t>Net Paid-up Valuation</t>
        </is>
      </c>
      <c r="B10" s="19">
        <f>B8-B9</f>
        <v/>
      </c>
      <c r="C10" s="19">
        <f>C8-C9</f>
        <v/>
      </c>
      <c r="D10" s="19">
        <f>D8-D9</f>
        <v/>
      </c>
      <c r="E10" s="19">
        <f>E8-E9</f>
        <v/>
      </c>
      <c r="F10" s="19">
        <f>F8-F9</f>
        <v/>
      </c>
    </row>
    <row r="11" ht="20" customHeight="1">
      <c r="A11" s="10" t="inlineStr">
        <is>
          <t>Drawing Power (allowed up to 75% of net value)</t>
        </is>
      </c>
      <c r="B11" s="11">
        <f>B10*0.75</f>
        <v/>
      </c>
      <c r="C11" s="11">
        <f>C10*0.75</f>
        <v/>
      </c>
      <c r="D11" s="11">
        <f>D10*0.75</f>
        <v/>
      </c>
      <c r="E11" s="11">
        <f>E10*0.75</f>
        <v/>
      </c>
      <c r="F11" s="11">
        <f>F10*0.75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14" customWidth="1" min="2" max="2"/>
    <col width="13" customWidth="1" min="3" max="3"/>
    <col width="14" customWidth="1" min="4" max="4"/>
    <col width="14" customWidth="1" min="5" max="5"/>
    <col width="15" customWidth="1" min="6" max="6"/>
  </cols>
  <sheetData>
    <row r="1" ht="28" customHeight="1">
      <c r="A1" s="1" t="inlineStr">
        <is>
          <t>PROJECTED CASH FLOW STATEMENT (₹)</t>
        </is>
      </c>
    </row>
    <row r="2" ht="18" customHeight="1">
      <c r="A2" s="2" t="inlineStr">
        <is>
          <t>Sources and Applications of Corporate Business Funds</t>
        </is>
      </c>
    </row>
    <row r="3"/>
    <row r="4" ht="24" customHeight="1">
      <c r="A4" s="4" t="inlineStr">
        <is>
          <t>Particulars</t>
        </is>
      </c>
      <c r="B4" s="4" t="inlineStr">
        <is>
          <t>FY 2025-26</t>
        </is>
      </c>
      <c r="C4" s="4" t="inlineStr">
        <is>
          <t>FY 2026-27</t>
        </is>
      </c>
      <c r="D4" s="4" t="inlineStr">
        <is>
          <t>FY 2027-28</t>
        </is>
      </c>
      <c r="E4" s="4" t="inlineStr">
        <is>
          <t>FY 2028-29</t>
        </is>
      </c>
      <c r="F4" s="4" t="inlineStr">
        <is>
          <t>FY 2029-30</t>
        </is>
      </c>
    </row>
    <row r="5" ht="20" customHeight="1">
      <c r="A5" s="5" t="inlineStr">
        <is>
          <t>A. CASH FLOW FROM OPERATING ACTIVITIES</t>
        </is>
      </c>
      <c r="B5" s="21" t="n"/>
      <c r="C5" s="21" t="n"/>
      <c r="D5" s="21" t="n"/>
      <c r="E5" s="21" t="n"/>
      <c r="F5" s="21" t="n"/>
    </row>
    <row r="6" ht="20" customHeight="1">
      <c r="A6" s="6" t="inlineStr">
        <is>
          <t xml:space="preserve">  - Net Profit After Tax (PAT)</t>
        </is>
      </c>
      <c r="B6" s="9">
        <f>'Profit &amp; Loss'!B19</f>
        <v/>
      </c>
      <c r="C6" s="9">
        <f>'Profit &amp; Loss'!C19</f>
        <v/>
      </c>
      <c r="D6" s="9">
        <f>'Profit &amp; Loss'!D19</f>
        <v/>
      </c>
      <c r="E6" s="9">
        <f>'Profit &amp; Loss'!E19</f>
        <v/>
      </c>
      <c r="F6" s="9">
        <f>'Profit &amp; Loss'!F19</f>
        <v/>
      </c>
    </row>
    <row r="7" ht="20" customHeight="1">
      <c r="A7" s="6" t="inlineStr">
        <is>
          <t xml:space="preserve">  - Add: Depreciation &amp; Amortization</t>
        </is>
      </c>
      <c r="B7" s="9">
        <f>'Profit &amp; Loss'!B14</f>
        <v/>
      </c>
      <c r="C7" s="9">
        <f>'Profit &amp; Loss'!C14</f>
        <v/>
      </c>
      <c r="D7" s="9">
        <f>'Profit &amp; Loss'!D14</f>
        <v/>
      </c>
      <c r="E7" s="9">
        <f>'Profit &amp; Loss'!E14</f>
        <v/>
      </c>
      <c r="F7" s="9">
        <f>'Profit &amp; Loss'!F14</f>
        <v/>
      </c>
    </row>
    <row r="8" ht="20" customHeight="1">
      <c r="A8" s="18" t="inlineStr">
        <is>
          <t xml:space="preserve">  - (Increase)/Decrease in Sundry Debtors</t>
        </is>
      </c>
      <c r="B8" s="19" t="n">
        <v>0</v>
      </c>
      <c r="C8" s="19">
        <f>-('Balance Sheet'!C27-'Balance Sheet'!B27)</f>
        <v/>
      </c>
      <c r="D8" s="19">
        <f>-('Balance Sheet'!D27-'Balance Sheet'!C27)</f>
        <v/>
      </c>
      <c r="E8" s="19">
        <f>-('Balance Sheet'!E27-'Balance Sheet'!D27)</f>
        <v/>
      </c>
      <c r="F8" s="19">
        <f>-('Balance Sheet'!F27-'Balance Sheet'!E27)</f>
        <v/>
      </c>
    </row>
    <row r="9" ht="20" customHeight="1">
      <c r="A9" s="18" t="inlineStr">
        <is>
          <t xml:space="preserve">  - (Increase)/Decrease in Inventories</t>
        </is>
      </c>
      <c r="B9" s="19" t="n">
        <v>0</v>
      </c>
      <c r="C9" s="19">
        <f>-('Balance Sheet'!C26-'Balance Sheet'!B26)</f>
        <v/>
      </c>
      <c r="D9" s="19">
        <f>-('Balance Sheet'!D26-'Balance Sheet'!C26)</f>
        <v/>
      </c>
      <c r="E9" s="19">
        <f>-('Balance Sheet'!E26-'Balance Sheet'!D26)</f>
        <v/>
      </c>
      <c r="F9" s="19">
        <f>-('Balance Sheet'!F26-'Balance Sheet'!E26)</f>
        <v/>
      </c>
    </row>
    <row r="10" ht="20" customHeight="1">
      <c r="A10" s="18" t="inlineStr">
        <is>
          <t xml:space="preserve">  - Increase/(Decrease) in Trade Creditors</t>
        </is>
      </c>
      <c r="B10" s="19" t="n">
        <v>0</v>
      </c>
      <c r="C10" s="19">
        <f>'Balance Sheet'!C15-'Balance Sheet'!B15</f>
        <v/>
      </c>
      <c r="D10" s="19">
        <f>'Balance Sheet'!D15-'Balance Sheet'!C15</f>
        <v/>
      </c>
      <c r="E10" s="19">
        <f>'Balance Sheet'!E15-'Balance Sheet'!D15</f>
        <v/>
      </c>
      <c r="F10" s="19">
        <f>'Balance Sheet'!F15-'Balance Sheet'!E15</f>
        <v/>
      </c>
    </row>
    <row r="11" ht="20" customHeight="1">
      <c r="A11" s="10" t="inlineStr">
        <is>
          <t>Net Cash Generated from Operations (A)</t>
        </is>
      </c>
      <c r="B11" s="11">
        <f>SUM(B6:B10)</f>
        <v/>
      </c>
      <c r="C11" s="11">
        <f>SUM(C6:C10)</f>
        <v/>
      </c>
      <c r="D11" s="11">
        <f>SUM(D6:D10)</f>
        <v/>
      </c>
      <c r="E11" s="11">
        <f>SUM(E6:E10)</f>
        <v/>
      </c>
      <c r="F11" s="11">
        <f>SUM(F6:F10)</f>
        <v/>
      </c>
    </row>
    <row r="12" ht="20" customHeight="1">
      <c r="A12" s="5" t="inlineStr">
        <is>
          <t>B. CASH FLOW FROM INVESTING ACTIVITIES</t>
        </is>
      </c>
      <c r="B12" s="21" t="n"/>
      <c r="C12" s="21" t="n"/>
      <c r="D12" s="21" t="n"/>
      <c r="E12" s="21" t="n"/>
      <c r="F12" s="21" t="n"/>
    </row>
    <row r="13" ht="20" customHeight="1">
      <c r="A13" s="6" t="inlineStr">
        <is>
          <t xml:space="preserve">  - Capital Expenditure / Project Cost</t>
        </is>
      </c>
      <c r="B13" s="9" t="n">
        <v>-15000000</v>
      </c>
      <c r="C13" s="9" t="n">
        <v>0</v>
      </c>
      <c r="D13" s="9" t="n">
        <v>0</v>
      </c>
      <c r="E13" s="9" t="n">
        <v>0</v>
      </c>
      <c r="F13" s="9" t="n">
        <v>0</v>
      </c>
    </row>
    <row r="14" ht="20" customHeight="1">
      <c r="A14" s="10" t="inlineStr">
        <is>
          <t>Net Cash Used in Investing Activities (B)</t>
        </is>
      </c>
      <c r="B14" s="11">
        <f>B13</f>
        <v/>
      </c>
      <c r="C14" s="11">
        <f>C13</f>
        <v/>
      </c>
      <c r="D14" s="11">
        <f>D13</f>
        <v/>
      </c>
      <c r="E14" s="11">
        <f>E13</f>
        <v/>
      </c>
      <c r="F14" s="11">
        <f>F13</f>
        <v/>
      </c>
    </row>
    <row r="15" ht="20" customHeight="1">
      <c r="A15" s="5" t="inlineStr">
        <is>
          <t>C. CASH FLOW FROM FINANCING ACTIVITIES</t>
        </is>
      </c>
      <c r="B15" s="21" t="n"/>
      <c r="C15" s="21" t="n"/>
      <c r="D15" s="21" t="n"/>
      <c r="E15" s="21" t="n"/>
      <c r="F15" s="21" t="n"/>
    </row>
    <row r="16" ht="20" customHeight="1">
      <c r="A16" s="6" t="inlineStr">
        <is>
          <t xml:space="preserve">  - Term Loan Facility Disbursed</t>
        </is>
      </c>
      <c r="B16" s="9" t="n">
        <v>15000000</v>
      </c>
      <c r="C16" s="9" t="n">
        <v>0</v>
      </c>
      <c r="D16" s="9" t="n">
        <v>0</v>
      </c>
      <c r="E16" s="9" t="n">
        <v>0</v>
      </c>
      <c r="F16" s="9" t="n">
        <v>0</v>
      </c>
    </row>
    <row r="17" ht="20" customHeight="1">
      <c r="A17" s="6" t="inlineStr">
        <is>
          <t xml:space="preserve">  - Change in Borrowings (Repayments)</t>
        </is>
      </c>
      <c r="B17" s="9" t="n">
        <v>0</v>
      </c>
      <c r="C17" s="9">
        <f>'Balance Sheet'!C11-'Balance Sheet'!B11</f>
        <v/>
      </c>
      <c r="D17" s="9">
        <f>'Balance Sheet'!D11-'Balance Sheet'!C11</f>
        <v/>
      </c>
      <c r="E17" s="9">
        <f>'Balance Sheet'!E11-'Balance Sheet'!D11</f>
        <v/>
      </c>
      <c r="F17" s="9">
        <f>'Balance Sheet'!F11-'Balance Sheet'!E11</f>
        <v/>
      </c>
    </row>
    <row r="18" ht="20" customHeight="1">
      <c r="A18" s="6" t="inlineStr">
        <is>
          <t xml:space="preserve">  - Interest on Term Loan Paid</t>
        </is>
      </c>
      <c r="B18" s="9">
        <f>-'Profit &amp; Loss'!B16</f>
        <v/>
      </c>
      <c r="C18" s="9">
        <f>-'Profit &amp; Loss'!C16</f>
        <v/>
      </c>
      <c r="D18" s="9">
        <f>-'Profit &amp; Loss'!D16</f>
        <v/>
      </c>
      <c r="E18" s="9" t="n">
        <v>0</v>
      </c>
      <c r="F18" s="9" t="n">
        <v>0</v>
      </c>
    </row>
    <row r="19" ht="20" customHeight="1">
      <c r="A19" s="10" t="inlineStr">
        <is>
          <t>Net Cash from Financing Activities (C)</t>
        </is>
      </c>
      <c r="B19" s="11">
        <f>SUM(B16:B18)</f>
        <v/>
      </c>
      <c r="C19" s="11">
        <f>SUM(C16:C18)</f>
        <v/>
      </c>
      <c r="D19" s="11">
        <f>SUM(D16:D18)</f>
        <v/>
      </c>
      <c r="E19" s="11">
        <f>SUM(E16:E18)</f>
        <v/>
      </c>
      <c r="F19" s="11">
        <f>SUM(F16:F18)</f>
        <v/>
      </c>
    </row>
    <row r="20" ht="20" customHeight="1">
      <c r="A20" s="5" t="inlineStr">
        <is>
          <t>D. SUMMARY OF CASH POSITION</t>
        </is>
      </c>
      <c r="B20" s="21" t="n"/>
      <c r="C20" s="21" t="n"/>
      <c r="D20" s="21" t="n"/>
      <c r="E20" s="21" t="n"/>
      <c r="F20" s="21" t="n"/>
    </row>
    <row r="21" ht="20" customHeight="1">
      <c r="A21" s="10" t="inlineStr">
        <is>
          <t xml:space="preserve">  - Net Increase in Cash (A + B + C)</t>
        </is>
      </c>
      <c r="B21" s="11">
        <f>B11+B14+B19</f>
        <v/>
      </c>
      <c r="C21" s="11">
        <f>C11+C14+C19</f>
        <v/>
      </c>
      <c r="D21" s="11">
        <f>D11+D14+D19</f>
        <v/>
      </c>
      <c r="E21" s="11">
        <f>E11+E14+E19</f>
        <v/>
      </c>
      <c r="F21" s="11">
        <f>F11+F14+F19</f>
        <v/>
      </c>
    </row>
    <row r="22" ht="20" customHeight="1">
      <c r="A22" s="6" t="inlineStr">
        <is>
          <t xml:space="preserve">  - Opening Cash and Bank Balance</t>
        </is>
      </c>
      <c r="B22" s="9" t="n">
        <v>0</v>
      </c>
      <c r="C22" s="9">
        <f>B23</f>
        <v/>
      </c>
      <c r="D22" s="9">
        <f>C23</f>
        <v/>
      </c>
      <c r="E22" s="9">
        <f>D23</f>
        <v/>
      </c>
      <c r="F22" s="9">
        <f>E23</f>
        <v/>
      </c>
    </row>
    <row r="23" ht="20" customHeight="1">
      <c r="A23" s="10" t="inlineStr">
        <is>
          <t xml:space="preserve">  - Closing Cash and Bank Balance</t>
        </is>
      </c>
      <c r="B23" s="11" t="n">
        <v>2017226.03</v>
      </c>
      <c r="C23" s="11" t="n">
        <v>8101976.03</v>
      </c>
      <c r="D23" s="11" t="n">
        <v>18262038.53</v>
      </c>
      <c r="E23" s="11" t="n">
        <v>60358038.53</v>
      </c>
      <c r="F23" s="11" t="n">
        <v>102454038.53</v>
      </c>
    </row>
  </sheetData>
  <mergeCells count="4">
    <mergeCell ref="A20:F20"/>
    <mergeCell ref="A5:F5"/>
    <mergeCell ref="A12:F12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 outlineLevelCol="0"/>
  <cols>
    <col width="67" customWidth="1" min="1" max="1"/>
    <col width="28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FINANCIAL RATIO ANALYSIS DASHBOARD</t>
        </is>
      </c>
    </row>
    <row r="2" ht="18" customHeight="1">
      <c r="A2" s="2" t="inlineStr">
        <is>
          <t>Key Risk, Leverage, &amp; Profitability Ratios vs Banking Benchmarks</t>
        </is>
      </c>
    </row>
    <row r="3"/>
    <row r="4">
      <c r="A4" s="3" t="inlineStr">
        <is>
          <t>Core Banking Financial Ratios</t>
        </is>
      </c>
    </row>
    <row r="5" ht="24" customHeight="1">
      <c r="A5" s="4" t="inlineStr">
        <is>
          <t>Ratio / Indicator</t>
        </is>
      </c>
      <c r="B5" s="4" t="inlineStr">
        <is>
          <t>Formula</t>
        </is>
      </c>
      <c r="C5" s="4" t="inlineStr">
        <is>
          <t>Banking Norm</t>
        </is>
      </c>
      <c r="D5" s="4" t="inlineStr">
        <is>
          <t>FY 2025-26</t>
        </is>
      </c>
      <c r="E5" s="4" t="inlineStr">
        <is>
          <t>FY 2026-27</t>
        </is>
      </c>
      <c r="F5" s="4" t="inlineStr">
        <is>
          <t>FY 2027-28</t>
        </is>
      </c>
      <c r="G5" s="4" t="inlineStr">
        <is>
          <t>FY 2028-29</t>
        </is>
      </c>
      <c r="H5" s="4" t="inlineStr">
        <is>
          <t>FY 2029-30</t>
        </is>
      </c>
    </row>
    <row r="6" ht="20" customHeight="1">
      <c r="A6" s="18" t="inlineStr">
        <is>
          <t>Current Ratio</t>
        </is>
      </c>
      <c r="B6" s="24" t="inlineStr">
        <is>
          <t>TCA / TCL</t>
        </is>
      </c>
      <c r="C6" s="25" t="inlineStr">
        <is>
          <t>&gt;= 1.33</t>
        </is>
      </c>
      <c r="D6" s="26">
        <f>'Balance Sheet'!B31/'Balance Sheet'!B17</f>
        <v/>
      </c>
      <c r="E6" s="26">
        <f>'Balance Sheet'!C31/'Balance Sheet'!C17</f>
        <v/>
      </c>
      <c r="F6" s="26">
        <f>'Balance Sheet'!D31/'Balance Sheet'!D17</f>
        <v/>
      </c>
      <c r="G6" s="26">
        <f>'Balance Sheet'!E31/'Balance Sheet'!E17</f>
        <v/>
      </c>
      <c r="H6" s="26">
        <f>'Balance Sheet'!F31/'Balance Sheet'!F17</f>
        <v/>
      </c>
    </row>
    <row r="7" ht="20" customHeight="1">
      <c r="A7" s="18" t="inlineStr">
        <is>
          <t>Quick Ratio</t>
        </is>
      </c>
      <c r="B7" s="24" t="inlineStr">
        <is>
          <t>(TCA-Stock)/TCL</t>
        </is>
      </c>
      <c r="C7" s="25" t="inlineStr">
        <is>
          <t>&gt;= 1.00</t>
        </is>
      </c>
      <c r="D7" s="26">
        <f>('Balance Sheet'!B31-'Balance Sheet'!B30-'Balance Sheet'!B26)/'Balance Sheet'!B17</f>
        <v/>
      </c>
      <c r="E7" s="26">
        <f>('Balance Sheet'!C31-'Balance Sheet'!C30-'Balance Sheet'!C26)/'Balance Sheet'!C17</f>
        <v/>
      </c>
      <c r="F7" s="26">
        <f>('Balance Sheet'!D31-'Balance Sheet'!D30-'Balance Sheet'!D26)/'Balance Sheet'!D17</f>
        <v/>
      </c>
      <c r="G7" s="26">
        <f>('Balance Sheet'!E31-'Balance Sheet'!E30-'Balance Sheet'!E26)/'Balance Sheet'!E17</f>
        <v/>
      </c>
      <c r="H7" s="26">
        <f>('Balance Sheet'!F31-'Balance Sheet'!F30-'Balance Sheet'!F26)/'Balance Sheet'!F17</f>
        <v/>
      </c>
    </row>
    <row r="8" ht="20" customHeight="1">
      <c r="A8" s="18" t="inlineStr">
        <is>
          <t>Debt-Equity Ratio</t>
        </is>
      </c>
      <c r="B8" s="24" t="inlineStr">
        <is>
          <t>Long Term Debt / TNW</t>
        </is>
      </c>
      <c r="C8" s="25" t="inlineStr">
        <is>
          <t>&lt;= 2.00</t>
        </is>
      </c>
      <c r="D8" s="26">
        <f>'Balance Sheet'!B11/'Balance Sheet'!B9</f>
        <v/>
      </c>
      <c r="E8" s="26">
        <f>'Balance Sheet'!C11/'Balance Sheet'!C9</f>
        <v/>
      </c>
      <c r="F8" s="26">
        <f>'Balance Sheet'!D11/'Balance Sheet'!D9</f>
        <v/>
      </c>
      <c r="G8" s="26">
        <f>'Balance Sheet'!E11/'Balance Sheet'!E9</f>
        <v/>
      </c>
      <c r="H8" s="26">
        <f>'Balance Sheet'!F11/'Balance Sheet'!F9</f>
        <v/>
      </c>
    </row>
    <row r="9" ht="20" customHeight="1">
      <c r="A9" s="18" t="inlineStr">
        <is>
          <t>TOL / TNW Ratio</t>
        </is>
      </c>
      <c r="B9" s="24" t="inlineStr">
        <is>
          <t>Total Outside Liab / TNW</t>
        </is>
      </c>
      <c r="C9" s="25" t="inlineStr">
        <is>
          <t>&lt;= 3.00</t>
        </is>
      </c>
      <c r="D9" s="26">
        <f>'Balance Sheet'!B18/'Balance Sheet'!B9</f>
        <v/>
      </c>
      <c r="E9" s="26">
        <f>'Balance Sheet'!C18/'Balance Sheet'!C9</f>
        <v/>
      </c>
      <c r="F9" s="26">
        <f>'Balance Sheet'!D18/'Balance Sheet'!D9</f>
        <v/>
      </c>
      <c r="G9" s="26">
        <f>'Balance Sheet'!E18/'Balance Sheet'!E9</f>
        <v/>
      </c>
      <c r="H9" s="26">
        <f>'Balance Sheet'!F18/'Balance Sheet'!F9</f>
        <v/>
      </c>
    </row>
    <row r="10" ht="20" customHeight="1">
      <c r="A10" s="18" t="inlineStr">
        <is>
          <t>Debt Service Coverage Ratio (DSCR)</t>
        </is>
      </c>
      <c r="B10" s="24" t="inlineStr">
        <is>
          <t>(PAT+Dep+Int)/(Prin+Int)</t>
        </is>
      </c>
      <c r="C10" s="25" t="inlineStr">
        <is>
          <t>&gt;= 1.25</t>
        </is>
      </c>
      <c r="D10" s="26">
        <f>IF(('Amortization'!D6+'Profit &amp; Loss'!B16)=0,0,('Profit &amp; Loss'!B19+'Profit &amp; Loss'!B14+'Profit &amp; Loss'!B16)/('Amortization'!D6+'Profit &amp; Loss'!B16))</f>
        <v/>
      </c>
      <c r="E10" s="26">
        <f>IF(('Amortization'!D7+'Profit &amp; Loss'!C16)=0,0,('Profit &amp; Loss'!C19+'Profit &amp; Loss'!C14+'Profit &amp; Loss'!C16)/('Amortization'!D7+'Profit &amp; Loss'!C16))</f>
        <v/>
      </c>
      <c r="F10" s="26">
        <f>IF(('Amortization'!D8+'Profit &amp; Loss'!D16)=0,0,('Profit &amp; Loss'!D19+'Profit &amp; Loss'!D14+'Profit &amp; Loss'!D16)/('Amortization'!D8+'Profit &amp; Loss'!D16))</f>
        <v/>
      </c>
      <c r="G10" s="26">
        <f>IF(('Amortization'!D9+'Profit &amp; Loss'!E16)=0,0,('Profit &amp; Loss'!E19+'Profit &amp; Loss'!E14+'Profit &amp; Loss'!E16)/('Amortization'!D9+'Profit &amp; Loss'!E16))</f>
        <v/>
      </c>
      <c r="H10" s="26">
        <f>IF(('Amortization'!D10+'Profit &amp; Loss'!F16)=0,0,('Profit &amp; Loss'!F19+'Profit &amp; Loss'!F14+'Profit &amp; Loss'!F16)/('Amortization'!D10+'Profit &amp; Loss'!F16))</f>
        <v/>
      </c>
    </row>
    <row r="11" ht="20" customHeight="1">
      <c r="A11" s="18" t="inlineStr">
        <is>
          <t>Interest Coverage Ratio</t>
        </is>
      </c>
      <c r="B11" s="24" t="inlineStr">
        <is>
          <t>EBIT / Interest</t>
        </is>
      </c>
      <c r="C11" s="25" t="inlineStr">
        <is>
          <t>&gt;= 2.00</t>
        </is>
      </c>
      <c r="D11" s="26">
        <f>IF('Profit &amp; Loss'!B16=0,0,'Profit &amp; Loss'!B15/'Profit &amp; Loss'!B16)</f>
        <v/>
      </c>
      <c r="E11" s="26">
        <f>IF('Profit &amp; Loss'!C16=0,0,'Profit &amp; Loss'!C15/'Profit &amp; Loss'!C16)</f>
        <v/>
      </c>
      <c r="F11" s="26">
        <f>IF('Profit &amp; Loss'!D16=0,0,'Profit &amp; Loss'!D15/'Profit &amp; Loss'!D16)</f>
        <v/>
      </c>
      <c r="G11" s="26">
        <f>IF('Profit &amp; Loss'!E16=0,0,'Profit &amp; Loss'!E15/'Profit &amp; Loss'!E16)</f>
        <v/>
      </c>
      <c r="H11" s="26">
        <f>IF('Profit &amp; Loss'!F16=0,0,'Profit &amp; Loss'!F15/'Profit &amp; Loss'!F16)</f>
        <v/>
      </c>
    </row>
    <row r="12" ht="20" customHeight="1">
      <c r="A12" s="18" t="inlineStr">
        <is>
          <t>Gross Profit Margin %</t>
        </is>
      </c>
      <c r="B12" s="24" t="inlineStr">
        <is>
          <t>(Revenue-RM Cost)/Revenue</t>
        </is>
      </c>
      <c r="C12" s="25" t="inlineStr">
        <is>
          <t>&gt; 30%</t>
        </is>
      </c>
      <c r="D12" s="20">
        <f>('Profit &amp; Loss'!B5-'Profit &amp; Loss'!B8)/'Profit &amp; Loss'!B5</f>
        <v/>
      </c>
      <c r="E12" s="20">
        <f>('Profit &amp; Loss'!C5-'Profit &amp; Loss'!C8)/'Profit &amp; Loss'!C5</f>
        <v/>
      </c>
      <c r="F12" s="20">
        <f>('Profit &amp; Loss'!D5-'Profit &amp; Loss'!D8)/'Profit &amp; Loss'!D5</f>
        <v/>
      </c>
      <c r="G12" s="20">
        <f>('Profit &amp; Loss'!E5-'Profit &amp; Loss'!E8)/'Profit &amp; Loss'!E5</f>
        <v/>
      </c>
      <c r="H12" s="20">
        <f>('Profit &amp; Loss'!F5-'Profit &amp; Loss'!F8)/'Profit &amp; Loss'!F5</f>
        <v/>
      </c>
    </row>
    <row r="13" ht="20" customHeight="1">
      <c r="A13" s="18" t="inlineStr">
        <is>
          <t>EBITDA Margin %</t>
        </is>
      </c>
      <c r="B13" s="24" t="inlineStr">
        <is>
          <t>EBITDA / Sales</t>
        </is>
      </c>
      <c r="C13" s="25" t="inlineStr">
        <is>
          <t>&gt; 10%</t>
        </is>
      </c>
      <c r="D13" s="20">
        <f>'Profit &amp; Loss'!B13</f>
        <v/>
      </c>
      <c r="E13" s="20">
        <f>'Profit &amp; Loss'!C13</f>
        <v/>
      </c>
      <c r="F13" s="20">
        <f>'Profit &amp; Loss'!D13</f>
        <v/>
      </c>
      <c r="G13" s="20">
        <f>'Profit &amp; Loss'!E13</f>
        <v/>
      </c>
      <c r="H13" s="20">
        <f>'Profit &amp; Loss'!F13</f>
        <v/>
      </c>
    </row>
    <row r="14" ht="20" customHeight="1">
      <c r="A14" s="18" t="inlineStr">
        <is>
          <t>PAT Margin %</t>
        </is>
      </c>
      <c r="B14" s="24" t="inlineStr">
        <is>
          <t>PAT / Sales</t>
        </is>
      </c>
      <c r="C14" s="25" t="inlineStr">
        <is>
          <t>&gt; 5%</t>
        </is>
      </c>
      <c r="D14" s="20">
        <f>'Profit &amp; Loss'!B20</f>
        <v/>
      </c>
      <c r="E14" s="20">
        <f>'Profit &amp; Loss'!C20</f>
        <v/>
      </c>
      <c r="F14" s="20">
        <f>'Profit &amp; Loss'!D20</f>
        <v/>
      </c>
      <c r="G14" s="20">
        <f>'Profit &amp; Loss'!E20</f>
        <v/>
      </c>
      <c r="H14" s="20">
        <f>'Profit &amp; Loss'!F20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70" customWidth="1" min="1" max="1"/>
    <col width="26" customWidth="1" min="2" max="2"/>
    <col width="17" customWidth="1" min="3" max="3"/>
    <col width="16" customWidth="1" min="4" max="4"/>
    <col width="13" customWidth="1" min="5" max="5"/>
  </cols>
  <sheetData>
    <row r="1" ht="28" customHeight="1">
      <c r="A1" s="1" t="inlineStr">
        <is>
          <t>SENSITIVITY ANALYSIS STRESS TESTS</t>
        </is>
      </c>
    </row>
    <row r="2" ht="18" customHeight="1">
      <c r="A2" s="2" t="inlineStr">
        <is>
          <t>Impact of Adverse Revenue and Cost Scenarios on Debt Service (DSCR)</t>
        </is>
      </c>
    </row>
    <row r="3"/>
    <row r="4">
      <c r="A4" s="3" t="inlineStr">
        <is>
          <t>DSCR Stress Scenarios</t>
        </is>
      </c>
    </row>
    <row r="5" ht="24" customHeight="1">
      <c r="A5" s="4" t="inlineStr">
        <is>
          <t>Scenario</t>
        </is>
      </c>
      <c r="B5" s="4" t="inlineStr">
        <is>
          <t>Assumption</t>
        </is>
      </c>
      <c r="C5" s="4" t="inlineStr">
        <is>
          <t>Projected DSCR</t>
        </is>
      </c>
      <c r="D5" s="4" t="inlineStr">
        <is>
          <t>Stressed DSCR</t>
        </is>
      </c>
      <c r="E5" s="4" t="inlineStr">
        <is>
          <t>Assessment</t>
        </is>
      </c>
    </row>
    <row r="6" ht="20" customHeight="1">
      <c r="A6" s="5" t="inlineStr">
        <is>
          <t>Revenue Decline 10%</t>
        </is>
      </c>
      <c r="B6" s="6" t="inlineStr">
        <is>
          <t>Sales drop by 10%</t>
        </is>
      </c>
      <c r="C6" s="27" t="n">
        <v>0</v>
      </c>
      <c r="D6" s="27" t="n">
        <v>0</v>
      </c>
      <c r="E6" s="28" t="inlineStr">
        <is>
          <t>Stressed</t>
        </is>
      </c>
    </row>
    <row r="7" ht="20" customHeight="1">
      <c r="A7" s="5" t="inlineStr">
        <is>
          <t>Revenue Decline 20%</t>
        </is>
      </c>
      <c r="B7" s="6" t="inlineStr">
        <is>
          <t>Sales drop by 20%</t>
        </is>
      </c>
      <c r="C7" s="27" t="n">
        <v>0</v>
      </c>
      <c r="D7" s="27" t="n">
        <v>0</v>
      </c>
      <c r="E7" s="28" t="inlineStr">
        <is>
          <t>Stressed</t>
        </is>
      </c>
    </row>
    <row r="8" ht="20" customHeight="1">
      <c r="A8" s="5" t="inlineStr">
        <is>
          <t>Cost Increase 10%</t>
        </is>
      </c>
      <c r="B8" s="6" t="inlineStr">
        <is>
          <t>Material costs rise 10%</t>
        </is>
      </c>
      <c r="C8" s="27" t="n">
        <v>0</v>
      </c>
      <c r="D8" s="27" t="n">
        <v>0</v>
      </c>
      <c r="E8" s="28" t="inlineStr">
        <is>
          <t>Stressed</t>
        </is>
      </c>
    </row>
    <row r="9" ht="20" customHeight="1">
      <c r="A9" s="5" t="inlineStr">
        <is>
          <t>Combined Stress</t>
        </is>
      </c>
      <c r="B9" s="6" t="inlineStr">
        <is>
          <t>Revenue -10%, Cost +5%</t>
        </is>
      </c>
      <c r="C9" s="27" t="n">
        <v>0</v>
      </c>
      <c r="D9" s="27" t="n">
        <v>0</v>
      </c>
      <c r="E9" s="28" t="inlineStr">
        <is>
          <t>Stressed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2026-06-17T12:49:55Z</dcterms:created>
  <dcterms:modified xsi:type="dcterms:W3CDTF">2026-06-17T12:49:55Z</dcterms:modified>
</cp:coreProperties>
</file>